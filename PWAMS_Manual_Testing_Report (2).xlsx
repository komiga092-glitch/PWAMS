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Automation Evidence" sheetId="2" state="visible" r:id="rId2"/>
    <sheet name="Auth-Login" sheetId="3" state="visible" r:id="rId3"/>
    <sheet name="Account-Activation" sheetId="4" state="visible" r:id="rId4"/>
    <sheet name="User-Management" sheetId="5" state="visible" r:id="rId5"/>
    <sheet name="Dashboard" sheetId="6" state="visible" r:id="rId6"/>
    <sheet name="Students" sheetId="7" state="visible" r:id="rId7"/>
    <sheet name="Persons-Beneficiaries" sheetId="8" state="visible" r:id="rId8"/>
    <sheet name="Donors" sheetId="9" state="visible" r:id="rId9"/>
    <sheet name="Donations" sheetId="10" state="visible" r:id="rId10"/>
    <sheet name="Loans" sheetId="11" state="visible" r:id="rId11"/>
    <sheet name="Loan-Repayments" sheetId="12" state="visible" r:id="rId12"/>
    <sheet name="Aid-Requests" sheetId="13" state="visible" r:id="rId13"/>
    <sheet name="Care-Provided" sheetId="14" state="visible" r:id="rId14"/>
    <sheet name="Revenue" sheetId="15" state="visible" r:id="rId15"/>
    <sheet name="Messages" sheetId="16" state="visible" r:id="rId16"/>
    <sheet name="Notifications" sheetId="17" state="visible" r:id="rId17"/>
    <sheet name="File-Upload" sheetId="18" state="visible" r:id="rId18"/>
    <sheet name="Reports" sheetId="19" state="visible" r:id="rId19"/>
    <sheet name="Audit-Logs" sheetId="20" state="visible" r:id="rId20"/>
    <sheet name="Offline-Sync" sheetId="21" state="visible" r:id="rId21"/>
    <sheet name="Security-RBAC" sheetId="22" state="visible" r:id="rId22"/>
    <sheet name="Localization-i18n" sheetId="23" state="visible" r:id="rId23"/>
  </sheets>
  <definedNames>
    <definedName name="_xlnm._FilterDatabase" localSheetId="2" hidden="1">'Auth-Login'!$A$1:$L$17</definedName>
    <definedName name="_xlnm._FilterDatabase" localSheetId="3" hidden="1">'Account-Activation'!$A$1:$L$7</definedName>
    <definedName name="_xlnm._FilterDatabase" localSheetId="4" hidden="1">'User-Management'!$A$1:$L$11</definedName>
    <definedName name="_xlnm._FilterDatabase" localSheetId="5" hidden="1">'Dashboard'!$A$1:$L$6</definedName>
    <definedName name="_xlnm._FilterDatabase" localSheetId="6" hidden="1">'Students'!$A$1:$L$19</definedName>
    <definedName name="_xlnm._FilterDatabase" localSheetId="7" hidden="1">'Persons-Beneficiaries'!$A$1:$L$18</definedName>
    <definedName name="_xlnm._FilterDatabase" localSheetId="8" hidden="1">'Donors'!$A$1:$L$18</definedName>
    <definedName name="_xlnm._FilterDatabase" localSheetId="9" hidden="1">'Donations'!$A$1:$L$19</definedName>
    <definedName name="_xlnm._FilterDatabase" localSheetId="10" hidden="1">'Loans'!$A$1:$L$18</definedName>
    <definedName name="_xlnm._FilterDatabase" localSheetId="11" hidden="1">'Loan-Repayments'!$A$1:$L$9</definedName>
    <definedName name="_xlnm._FilterDatabase" localSheetId="12" hidden="1">'Aid-Requests'!$A$1:$L$20</definedName>
    <definedName name="_xlnm._FilterDatabase" localSheetId="13" hidden="1">'Care-Provided'!$A$1:$L$17</definedName>
    <definedName name="_xlnm._FilterDatabase" localSheetId="14" hidden="1">'Revenue'!$A$1:$L$8</definedName>
    <definedName name="_xlnm._FilterDatabase" localSheetId="15" hidden="1">'Messages'!$A$1:$L$11</definedName>
    <definedName name="_xlnm._FilterDatabase" localSheetId="16" hidden="1">'Notifications'!$A$1:$L$7</definedName>
    <definedName name="_xlnm._FilterDatabase" localSheetId="17" hidden="1">'File-Upload'!$A$1:$L$9</definedName>
    <definedName name="_xlnm._FilterDatabase" localSheetId="18" hidden="1">'Reports'!$A$1:$L$10</definedName>
    <definedName name="_xlnm._FilterDatabase" localSheetId="19" hidden="1">'Audit-Logs'!$A$1:$L$7</definedName>
    <definedName name="_xlnm._FilterDatabase" localSheetId="20" hidden="1">'Offline-Sync'!$A$1:$L$7</definedName>
    <definedName name="_xlnm._FilterDatabase" localSheetId="21" hidden="1">'Security-RBAC'!$A$1:$L$10</definedName>
    <definedName name="_xlnm._FilterDatabase" localSheetId="22" hidden="1">'Localization-i18n'!$A$1:$L$5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I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1" min="1" max="1"/>
    <col width="32" customWidth="1" style="21" min="2" max="2"/>
    <col width="34" customWidth="1" style="21" min="3" max="3"/>
    <col width="22" customWidth="1" style="21" min="4" max="4"/>
    <col width="12" customWidth="1" style="21" min="5" max="9"/>
  </cols>
  <sheetData>
    <row r="1"/>
    <row r="2" ht="17.25" customHeight="1" s="22">
      <c r="B2" s="23" t="inlineStr">
        <is>
          <t>PWAMS — Manual Testing Report</t>
        </is>
      </c>
    </row>
    <row r="3" ht="15" customHeight="1" s="22">
      <c r="B3" s="24" t="inlineStr">
        <is>
          <t>Persons / Welfare Aid Management System — Manual Test Case Matrix</t>
        </is>
      </c>
    </row>
    <row r="4"/>
    <row r="5" ht="15" customHeight="1" s="22">
      <c r="B5" s="25" t="inlineStr">
        <is>
          <t>Project</t>
        </is>
      </c>
      <c r="C5" s="26" t="inlineStr">
        <is>
          <t>PWAMS (Persons / Welfare Aid Management System)</t>
        </is>
      </c>
    </row>
    <row r="6" ht="15" customHeight="1" s="22">
      <c r="B6" s="25" t="inlineStr">
        <is>
          <t>Report Type</t>
        </is>
      </c>
      <c r="C6" s="26" t="inlineStr">
        <is>
          <t>Manual Test Case Matrix (ready to execute)</t>
        </is>
      </c>
    </row>
    <row r="7" ht="15" customHeight="1" s="22">
      <c r="B7" s="25" t="inlineStr">
        <is>
          <t>Prepared For</t>
        </is>
      </c>
      <c r="C7" s="26" t="inlineStr">
        <is>
          <t>QA / UAT Sign-off</t>
        </is>
      </c>
    </row>
    <row r="8" ht="15" customHeight="1" s="22">
      <c r="B8" s="25" t="inlineStr">
        <is>
          <t>Test Environment</t>
        </is>
      </c>
      <c r="C8" s="26" t="inlineStr">
        <is>
          <t>Local dev instance http://127.0.0.1:8081 built from this repo (commit 4c8a8ba); PostgreSQL localhost:5432/pwams_db; SMTP sandbox Mailpit 127.0.0.1:1025 (SMTP AUTH enabled); QA accounts from cmd/qaseed. NOT a confirmed staging/live environment.</t>
        </is>
      </c>
    </row>
    <row r="9" ht="15" customHeight="1" s="22">
      <c r="B9" s="25" t="inlineStr">
        <is>
          <t>Tested By</t>
        </is>
      </c>
      <c r="C9" s="26" t="inlineStr">
        <is>
          <t>Cline (automated agent, HTTP-level execution)</t>
        </is>
      </c>
    </row>
    <row r="10" ht="15" customHeight="1" s="22">
      <c r="B10" s="25" t="inlineStr">
        <is>
          <t>Test Period</t>
        </is>
      </c>
      <c r="C10" s="26" t="inlineStr">
        <is>
          <t>2026-09-29 (automated HTTP-level execution session)</t>
        </is>
      </c>
    </row>
    <row r="11"/>
    <row r="12" ht="15" customHeight="1" s="22">
      <c r="B12" s="25" t="inlineStr">
        <is>
          <t>Note</t>
        </is>
      </c>
      <c r="C12" s="27" t="inlineStr">
        <is>
          <t>Test cases were derived from the application's actual routes, handlers and RBAC rules (internal/routes, internal/models/role.go). All Status cells default to 'Not Executed' — this workbook is a ready-to-run test matrix; fill in Actual Result, Status, Tested By and Date Tested as each test case is executed.</t>
        </is>
      </c>
    </row>
    <row r="13" ht="15" customHeight="1" s="22"/>
    <row r="14" ht="15" customHeight="1" s="22"/>
    <row r="15"/>
    <row r="16"/>
    <row r="17" ht="23.25" customHeight="1" s="22">
      <c r="B17" s="28" t="inlineStr">
        <is>
          <t>#</t>
        </is>
      </c>
      <c r="C17" s="28" t="inlineStr">
        <is>
          <t>Module</t>
        </is>
      </c>
      <c r="D17" s="28" t="inlineStr">
        <is>
          <t>Sheet Name</t>
        </is>
      </c>
      <c r="E17" s="28" t="inlineStr">
        <is>
          <t>Total Cases</t>
        </is>
      </c>
      <c r="F17" s="28" t="inlineStr">
        <is>
          <t>Pass</t>
        </is>
      </c>
      <c r="G17" s="28" t="inlineStr">
        <is>
          <t>Fail</t>
        </is>
      </c>
      <c r="H17" s="28" t="inlineStr">
        <is>
          <t>Blocked</t>
        </is>
      </c>
      <c r="I17" s="28" t="inlineStr">
        <is>
          <t>Not Executed</t>
        </is>
      </c>
    </row>
    <row r="18" ht="15" customHeight="1" s="22">
      <c r="B18" s="29" t="n">
        <v>1</v>
      </c>
      <c r="C18" s="30" t="inlineStr">
        <is>
          <t>Authentication &amp; Login</t>
        </is>
      </c>
      <c r="D18" s="30" t="inlineStr">
        <is>
          <t>Auth-Login</t>
        </is>
      </c>
      <c r="E18" s="29">
        <f>16</f>
        <v/>
      </c>
      <c r="F18" s="29" t="n">
        <v>16</v>
      </c>
      <c r="G18" s="29" t="n">
        <v>0</v>
      </c>
      <c r="H18" s="29" t="n">
        <v>0</v>
      </c>
      <c r="I18" s="29" t="n">
        <v>0</v>
      </c>
    </row>
    <row r="19" ht="15" customHeight="1" s="22">
      <c r="B19" s="29" t="n">
        <v>2</v>
      </c>
      <c r="C19" s="30" t="inlineStr">
        <is>
          <t>Account Activation</t>
        </is>
      </c>
      <c r="D19" s="30" t="inlineStr">
        <is>
          <t>Account-Activation</t>
        </is>
      </c>
      <c r="E19" s="29">
        <f>6</f>
        <v/>
      </c>
      <c r="F19" s="29" t="n">
        <v>6</v>
      </c>
      <c r="G19" s="29" t="n">
        <v>0</v>
      </c>
      <c r="H19" s="29" t="n">
        <v>0</v>
      </c>
      <c r="I19" s="29" t="n">
        <v>0</v>
      </c>
    </row>
    <row r="20" ht="15" customHeight="1" s="22">
      <c r="B20" s="29" t="n">
        <v>3</v>
      </c>
      <c r="C20" s="30" t="inlineStr">
        <is>
          <t>User Management</t>
        </is>
      </c>
      <c r="D20" s="30" t="inlineStr">
        <is>
          <t>User-Management</t>
        </is>
      </c>
      <c r="E20" s="29">
        <f>10</f>
        <v/>
      </c>
      <c r="F20" s="29" t="n">
        <v>10</v>
      </c>
      <c r="G20" s="29" t="n">
        <v>0</v>
      </c>
      <c r="H20" s="29" t="n">
        <v>0</v>
      </c>
      <c r="I20" s="29" t="n">
        <v>0</v>
      </c>
    </row>
    <row r="21" ht="15" customHeight="1" s="22">
      <c r="B21" s="29" t="n">
        <v>4</v>
      </c>
      <c r="C21" s="30" t="inlineStr">
        <is>
          <t>Dashboard</t>
        </is>
      </c>
      <c r="D21" s="30" t="inlineStr">
        <is>
          <t>Dashboard</t>
        </is>
      </c>
      <c r="E21" s="29">
        <f>5</f>
        <v/>
      </c>
      <c r="F21" s="29" t="n">
        <v>4</v>
      </c>
      <c r="G21" s="29" t="n">
        <v>0</v>
      </c>
      <c r="H21" s="29" t="n">
        <v>1</v>
      </c>
      <c r="I21" s="29" t="n">
        <v>0</v>
      </c>
    </row>
    <row r="22" ht="15" customHeight="1" s="22">
      <c r="B22" s="29" t="n">
        <v>5</v>
      </c>
      <c r="C22" s="30" t="inlineStr">
        <is>
          <t>Student Management</t>
        </is>
      </c>
      <c r="D22" s="30" t="inlineStr">
        <is>
          <t>Students</t>
        </is>
      </c>
      <c r="E22" s="29">
        <f>18</f>
        <v/>
      </c>
      <c r="F22" s="29" t="n">
        <v>18</v>
      </c>
      <c r="G22" s="29" t="n">
        <v>0</v>
      </c>
      <c r="H22" s="29" t="n">
        <v>0</v>
      </c>
      <c r="I22" s="29" t="n">
        <v>0</v>
      </c>
    </row>
    <row r="23" ht="15" customHeight="1" s="22">
      <c r="B23" s="29" t="n">
        <v>6</v>
      </c>
      <c r="C23" s="30" t="inlineStr">
        <is>
          <t>Persons / Beneficiaries</t>
        </is>
      </c>
      <c r="D23" s="30" t="inlineStr">
        <is>
          <t>Persons-Beneficiaries</t>
        </is>
      </c>
      <c r="E23" s="29">
        <f>17</f>
        <v/>
      </c>
      <c r="F23" s="29" t="n">
        <v>17</v>
      </c>
      <c r="G23" s="29" t="n">
        <v>0</v>
      </c>
      <c r="H23" s="29" t="n">
        <v>0</v>
      </c>
      <c r="I23" s="29" t="n">
        <v>0</v>
      </c>
    </row>
    <row r="24" ht="15" customHeight="1" s="22">
      <c r="B24" s="29" t="n">
        <v>7</v>
      </c>
      <c r="C24" s="30" t="inlineStr">
        <is>
          <t>Donor Management</t>
        </is>
      </c>
      <c r="D24" s="30" t="inlineStr">
        <is>
          <t>Donors</t>
        </is>
      </c>
      <c r="E24" s="29">
        <f>17</f>
        <v/>
      </c>
      <c r="F24" s="29" t="n">
        <v>17</v>
      </c>
      <c r="G24" s="29" t="n">
        <v>0</v>
      </c>
      <c r="H24" s="29" t="n">
        <v>0</v>
      </c>
      <c r="I24" s="29" t="n">
        <v>0</v>
      </c>
    </row>
    <row r="25" ht="15" customHeight="1" s="22">
      <c r="B25" s="29" t="n">
        <v>8</v>
      </c>
      <c r="C25" s="30" t="inlineStr">
        <is>
          <t>Donations</t>
        </is>
      </c>
      <c r="D25" s="30" t="inlineStr">
        <is>
          <t>Donations</t>
        </is>
      </c>
      <c r="E25" s="29">
        <f>18</f>
        <v/>
      </c>
      <c r="F25" s="29" t="n">
        <v>18</v>
      </c>
      <c r="G25" s="29" t="n">
        <v>0</v>
      </c>
      <c r="H25" s="29" t="n">
        <v>0</v>
      </c>
      <c r="I25" s="29" t="n">
        <v>0</v>
      </c>
    </row>
    <row r="26" ht="15" customHeight="1" s="22">
      <c r="B26" s="29" t="n">
        <v>9</v>
      </c>
      <c r="C26" s="30" t="inlineStr">
        <is>
          <t>Loans</t>
        </is>
      </c>
      <c r="D26" s="30" t="inlineStr">
        <is>
          <t>Loans</t>
        </is>
      </c>
      <c r="E26" s="29">
        <f>17</f>
        <v/>
      </c>
      <c r="F26" s="29" t="n">
        <v>17</v>
      </c>
      <c r="G26" s="29" t="n">
        <v>0</v>
      </c>
      <c r="H26" s="29" t="n">
        <v>0</v>
      </c>
      <c r="I26" s="29" t="n">
        <v>0</v>
      </c>
    </row>
    <row r="27" ht="15" customHeight="1" s="22">
      <c r="B27" s="29" t="n">
        <v>10</v>
      </c>
      <c r="C27" s="30" t="inlineStr">
        <is>
          <t>Loan Repayments</t>
        </is>
      </c>
      <c r="D27" s="30" t="inlineStr">
        <is>
          <t>Loan-Repayments</t>
        </is>
      </c>
      <c r="E27" s="29">
        <f>8</f>
        <v/>
      </c>
      <c r="F27" s="29" t="n">
        <v>8</v>
      </c>
      <c r="G27" s="29" t="n">
        <v>0</v>
      </c>
      <c r="H27" s="29" t="n">
        <v>0</v>
      </c>
      <c r="I27" s="29" t="n">
        <v>0</v>
      </c>
    </row>
    <row r="28" ht="15" customHeight="1" s="22">
      <c r="B28" s="29" t="n">
        <v>11</v>
      </c>
      <c r="C28" s="30" t="inlineStr">
        <is>
          <t>Aid Requests</t>
        </is>
      </c>
      <c r="D28" s="30" t="inlineStr">
        <is>
          <t>Aid-Requests</t>
        </is>
      </c>
      <c r="E28" s="29">
        <f>19</f>
        <v/>
      </c>
      <c r="F28" s="29" t="n">
        <v>19</v>
      </c>
      <c r="G28" s="29" t="n">
        <v>0</v>
      </c>
      <c r="H28" s="29" t="n">
        <v>0</v>
      </c>
      <c r="I28" s="29" t="n">
        <v>0</v>
      </c>
    </row>
    <row r="29" ht="15" customHeight="1" s="22">
      <c r="B29" s="29" t="n">
        <v>12</v>
      </c>
      <c r="C29" s="30" t="inlineStr">
        <is>
          <t>Care Provided</t>
        </is>
      </c>
      <c r="D29" s="30" t="inlineStr">
        <is>
          <t>Care-Provided</t>
        </is>
      </c>
      <c r="E29" s="29">
        <f>16</f>
        <v/>
      </c>
      <c r="F29" s="29" t="n">
        <v>16</v>
      </c>
      <c r="G29" s="29" t="n">
        <v>0</v>
      </c>
      <c r="H29" s="29" t="n">
        <v>0</v>
      </c>
      <c r="I29" s="29" t="n">
        <v>0</v>
      </c>
    </row>
    <row r="30" ht="15" customHeight="1" s="22">
      <c r="B30" s="29" t="n">
        <v>13</v>
      </c>
      <c r="C30" s="30" t="inlineStr">
        <is>
          <t>Revenue</t>
        </is>
      </c>
      <c r="D30" s="30" t="inlineStr">
        <is>
          <t>Revenue</t>
        </is>
      </c>
      <c r="E30" s="29">
        <f>7</f>
        <v/>
      </c>
      <c r="F30" s="29" t="n">
        <v>7</v>
      </c>
      <c r="G30" s="29" t="n">
        <v>0</v>
      </c>
      <c r="H30" s="29" t="n">
        <v>0</v>
      </c>
      <c r="I30" s="29" t="n">
        <v>0</v>
      </c>
    </row>
    <row r="31" ht="15" customHeight="1" s="22">
      <c r="B31" s="29" t="n">
        <v>14</v>
      </c>
      <c r="C31" s="30" t="inlineStr">
        <is>
          <t>Messages</t>
        </is>
      </c>
      <c r="D31" s="30" t="inlineStr">
        <is>
          <t>Messages</t>
        </is>
      </c>
      <c r="E31" s="29">
        <f>10</f>
        <v/>
      </c>
      <c r="F31" s="29" t="n">
        <v>10</v>
      </c>
      <c r="G31" s="29" t="n">
        <v>0</v>
      </c>
      <c r="H31" s="29" t="n">
        <v>0</v>
      </c>
      <c r="I31" s="29" t="n">
        <v>0</v>
      </c>
    </row>
    <row r="32" ht="15" customHeight="1" s="22">
      <c r="B32" s="29" t="n">
        <v>15</v>
      </c>
      <c r="C32" s="30" t="inlineStr">
        <is>
          <t>Notifications</t>
        </is>
      </c>
      <c r="D32" s="30" t="inlineStr">
        <is>
          <t>Notifications</t>
        </is>
      </c>
      <c r="E32" s="29">
        <f>6</f>
        <v/>
      </c>
      <c r="F32" s="29" t="n">
        <v>6</v>
      </c>
      <c r="G32" s="29" t="n">
        <v>0</v>
      </c>
      <c r="H32" s="29" t="n">
        <v>0</v>
      </c>
      <c r="I32" s="29" t="n">
        <v>0</v>
      </c>
    </row>
    <row r="33" ht="15" customHeight="1" s="22">
      <c r="B33" s="29" t="n">
        <v>16</v>
      </c>
      <c r="C33" s="30" t="inlineStr">
        <is>
          <t>File Upload &amp; Reconciliation</t>
        </is>
      </c>
      <c r="D33" s="30" t="inlineStr">
        <is>
          <t>File-Upload</t>
        </is>
      </c>
      <c r="E33" s="29">
        <f>8</f>
        <v/>
      </c>
      <c r="F33" s="29" t="n">
        <v>8</v>
      </c>
      <c r="G33" s="29" t="n">
        <v>0</v>
      </c>
      <c r="H33" s="29" t="n">
        <v>0</v>
      </c>
      <c r="I33" s="29" t="n">
        <v>0</v>
      </c>
    </row>
    <row r="34" ht="15" customHeight="1" s="22">
      <c r="B34" s="29" t="n">
        <v>17</v>
      </c>
      <c r="C34" s="30" t="inlineStr">
        <is>
          <t>Reports</t>
        </is>
      </c>
      <c r="D34" s="30" t="inlineStr">
        <is>
          <t>Reports</t>
        </is>
      </c>
      <c r="E34" s="29">
        <f>9</f>
        <v/>
      </c>
      <c r="F34" s="29" t="n">
        <v>9</v>
      </c>
      <c r="G34" s="29" t="n">
        <v>0</v>
      </c>
      <c r="H34" s="29" t="n">
        <v>0</v>
      </c>
      <c r="I34" s="29" t="n">
        <v>0</v>
      </c>
    </row>
    <row r="35" ht="15" customHeight="1" s="22">
      <c r="B35" s="29" t="n">
        <v>18</v>
      </c>
      <c r="C35" s="30" t="inlineStr">
        <is>
          <t>Audit Logs</t>
        </is>
      </c>
      <c r="D35" s="30" t="inlineStr">
        <is>
          <t>Audit-Logs</t>
        </is>
      </c>
      <c r="E35" s="29">
        <f>6</f>
        <v/>
      </c>
      <c r="F35" s="29" t="n">
        <v>6</v>
      </c>
      <c r="G35" s="29" t="n">
        <v>0</v>
      </c>
      <c r="H35" s="29" t="n">
        <v>0</v>
      </c>
      <c r="I35" s="29" t="n">
        <v>0</v>
      </c>
    </row>
    <row r="36" ht="15" customHeight="1" s="22">
      <c r="B36" s="29" t="n">
        <v>19</v>
      </c>
      <c r="C36" s="30" t="inlineStr">
        <is>
          <t>Offline Sync</t>
        </is>
      </c>
      <c r="D36" s="30" t="inlineStr">
        <is>
          <t>Offline-Sync</t>
        </is>
      </c>
      <c r="E36" s="29">
        <f>6</f>
        <v/>
      </c>
      <c r="F36" s="29" t="n">
        <v>6</v>
      </c>
      <c r="G36" s="29" t="n">
        <v>0</v>
      </c>
      <c r="H36" s="29" t="n">
        <v>0</v>
      </c>
      <c r="I36" s="29" t="n">
        <v>0</v>
      </c>
    </row>
    <row r="37" ht="15" customHeight="1" s="22">
      <c r="B37" s="29" t="n">
        <v>20</v>
      </c>
      <c r="C37" s="30" t="inlineStr">
        <is>
          <t>Security &amp; RBAC (Cross-cutting)</t>
        </is>
      </c>
      <c r="D37" s="30" t="inlineStr">
        <is>
          <t>Security-RBAC</t>
        </is>
      </c>
      <c r="E37" s="29">
        <f>9</f>
        <v/>
      </c>
      <c r="F37" s="29" t="n">
        <v>9</v>
      </c>
      <c r="G37" s="29" t="n">
        <v>0</v>
      </c>
      <c r="H37" s="29" t="n">
        <v>0</v>
      </c>
      <c r="I37" s="29" t="n">
        <v>0</v>
      </c>
    </row>
    <row r="38" ht="15" customHeight="1" s="22">
      <c r="B38" s="29" t="n">
        <v>21</v>
      </c>
      <c r="C38" s="30" t="inlineStr">
        <is>
          <t>Localization (Sinhala / Tamil / English)</t>
        </is>
      </c>
      <c r="D38" s="30" t="inlineStr">
        <is>
          <t>Localization-i18n</t>
        </is>
      </c>
      <c r="E38" s="29">
        <f>4</f>
        <v/>
      </c>
      <c r="F38" s="29" t="n">
        <v>4</v>
      </c>
      <c r="G38" s="29" t="n">
        <v>0</v>
      </c>
      <c r="H38" s="29" t="n">
        <v>0</v>
      </c>
      <c r="I38" s="29" t="n">
        <v>0</v>
      </c>
    </row>
    <row r="39" ht="15" customHeight="1" s="22">
      <c r="B39" s="31" t="n"/>
      <c r="C39" s="25" t="inlineStr">
        <is>
          <t>TOTAL</t>
        </is>
      </c>
      <c r="D39" s="31" t="n"/>
      <c r="E39" s="32">
        <f>SUM(E18:E38)</f>
        <v/>
      </c>
      <c r="F39" s="32">
        <f>SUM(F18:F38)</f>
        <v/>
      </c>
      <c r="G39" s="32">
        <f>SUM(G18:G38)</f>
        <v/>
      </c>
      <c r="H39" s="32">
        <f>SUM(H18:H38)</f>
        <v/>
      </c>
      <c r="I39" s="32">
        <f>SUM(I18:I38)</f>
        <v/>
      </c>
    </row>
  </sheetData>
  <mergeCells count="9">
    <mergeCell ref="C6:H6"/>
    <mergeCell ref="C10:H10"/>
    <mergeCell ref="C5:H5"/>
    <mergeCell ref="C9:H9"/>
    <mergeCell ref="C12:H14"/>
    <mergeCell ref="B2:H2"/>
    <mergeCell ref="C8:H8"/>
    <mergeCell ref="B3:H3"/>
    <mergeCell ref="C7:H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2:TE7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1" min="1" max="1"/>
    <col width="30" customWidth="1" style="21" min="2" max="2"/>
    <col width="60" customWidth="1" style="21" min="3" max="3"/>
  </cols>
  <sheetData>
    <row r="2" ht="17.35" customHeight="1" s="22">
      <c r="B2" s="23" t="inlineStr">
        <is>
          <t>PWAMS — Automated Execution Evidence (Interim)</t>
        </is>
      </c>
    </row>
    <row r="3" ht="15" customHeight="1" s="22">
      <c r="B3" s="24" t="inlineStr">
        <is>
          <t>Source: Cline (automated coding agent) — NOT a human manual-QA pass</t>
        </is>
      </c>
    </row>
    <row r="4">
      <c r="B4" s="38" t="inlineStr"/>
    </row>
    <row r="5" ht="15" customHeight="1" s="22">
      <c r="B5" s="39" t="inlineStr">
        <is>
          <t>PWAMS - Automated Execution Evidence (HTTP-level harness)</t>
        </is>
      </c>
      <c r="C5" s="26" t="n"/>
    </row>
    <row r="6" ht="15" customHeight="1" s="22">
      <c r="B6" s="39" t="inlineStr">
        <is>
          <t>Source: Cline (automated coding agent) - NOT a human manual-QA pass</t>
        </is>
      </c>
      <c r="C6" s="26" t="n"/>
    </row>
    <row r="7" ht="15" customHeight="1" s="22">
      <c r="B7" s="39" t="inlineStr"/>
      <c r="C7" s="26" t="n"/>
    </row>
    <row r="8" ht="15" customHeight="1" s="22">
      <c r="B8" s="39" t="inlineStr">
        <is>
          <t>Run date</t>
        </is>
      </c>
      <c r="C8" s="40" t="inlineStr">
        <is>
          <t>2026-09-29</t>
        </is>
      </c>
    </row>
    <row r="9">
      <c r="B9" s="38" t="inlineStr">
        <is>
          <t>Executor</t>
        </is>
      </c>
      <c r="C9" s="38" t="inlineStr">
        <is>
          <t>Cline (automated agent, HTTP-level execution)</t>
        </is>
      </c>
    </row>
    <row r="10" ht="15" customHeight="1" s="22">
      <c r="B10" s="39" t="inlineStr">
        <is>
          <t>Harness</t>
        </is>
      </c>
      <c r="C10" s="38" t="inlineStr">
        <is>
          <t>scripts/qa_run_tests.py + scripts/qa_exec_a..d.py - curl cookie-jar client with stateless CSRF double-submit against a real qa_server.exe on 127.0.0.1:8081</t>
        </is>
      </c>
    </row>
    <row r="11" ht="15" customHeight="1" s="22">
      <c r="B11" s="40" t="inlineStr">
        <is>
          <t>Target checked</t>
        </is>
      </c>
      <c r="C11" s="40" t="inlineStr">
        <is>
          <t>http://127.0.0.1:8081 (local dev instance)</t>
        </is>
      </c>
    </row>
    <row r="12" ht="15" customHeight="1" s="22">
      <c r="B12" s="40" t="inlineStr">
        <is>
          <t>Environment</t>
        </is>
      </c>
      <c r="C12" s="40" t="inlineStr">
        <is>
          <t>Local dev instance http://127.0.0.1:8081 built from this repo (commit 4c8a8ba); PostgreSQL localhost:5432/pwams_db; SMTP sandbox Mailpit 127.0.0.1:1025 (SMTP AUTH enabled); QA accounts from cmd/qaseed. NOT a confirmed staging/live environment.</t>
        </is>
      </c>
    </row>
    <row r="13" ht="23.85" customHeight="1" s="22">
      <c r="B13" s="40" t="inlineStr">
        <is>
          <t>Cases executed this run</t>
        </is>
      </c>
      <c r="C13" s="40" t="inlineStr">
        <is>
          <t>232</t>
        </is>
      </c>
    </row>
    <row r="14" ht="15" customHeight="1" s="22">
      <c r="B14" s="40" t="inlineStr">
        <is>
          <t>Totals</t>
        </is>
      </c>
      <c r="C14" s="40" t="inlineStr">
        <is>
          <t>cases=232, pass=231, fail=0, blocked=1</t>
        </is>
      </c>
    </row>
    <row r="15">
      <c r="B15" s="38" t="inlineStr"/>
      <c r="C15" s="38" t="n"/>
    </row>
    <row r="16" ht="15" customHeight="1" s="22">
      <c r="B16" s="39" t="inlineStr">
        <is>
          <t>Per-module results</t>
        </is>
      </c>
    </row>
    <row r="17" ht="15" customHeight="1" s="22">
      <c r="B17" s="40" t="inlineStr">
        <is>
          <t>Module</t>
        </is>
      </c>
      <c r="C17" s="38" t="inlineStr">
        <is>
          <t>Cases</t>
        </is>
      </c>
      <c r="D17" s="38" t="inlineStr">
        <is>
          <t>Pass</t>
        </is>
      </c>
      <c r="E17" s="38" t="inlineStr">
        <is>
          <t>Fail</t>
        </is>
      </c>
      <c r="F17" s="38" t="inlineStr">
        <is>
          <t>Blocked</t>
        </is>
      </c>
      <c r="G17" s="38" t="inlineStr">
        <is>
          <t>Pass rate</t>
        </is>
      </c>
    </row>
    <row r="18">
      <c r="B18" s="38" t="inlineStr">
        <is>
          <t>Account-Activation</t>
        </is>
      </c>
      <c r="C18" s="38" t="inlineStr">
        <is>
          <t>6</t>
        </is>
      </c>
      <c r="D18" s="38" t="inlineStr">
        <is>
          <t>6</t>
        </is>
      </c>
      <c r="E18" s="38" t="inlineStr">
        <is>
          <t>0</t>
        </is>
      </c>
      <c r="F18" s="38" t="inlineStr">
        <is>
          <t>0</t>
        </is>
      </c>
      <c r="G18" s="38" t="inlineStr">
        <is>
          <t>100%</t>
        </is>
      </c>
    </row>
    <row r="19" ht="15" customHeight="1" s="22">
      <c r="B19" s="41" t="inlineStr">
        <is>
          <t>Aid-Requests</t>
        </is>
      </c>
      <c r="C19" s="41" t="inlineStr">
        <is>
          <t>19</t>
        </is>
      </c>
      <c r="D19" s="41" t="inlineStr">
        <is>
          <t>19</t>
        </is>
      </c>
      <c r="E19" s="38" t="inlineStr">
        <is>
          <t>0</t>
        </is>
      </c>
      <c r="F19" s="38" t="inlineStr">
        <is>
          <t>0</t>
        </is>
      </c>
      <c r="G19" s="38" t="inlineStr">
        <is>
          <t>100%</t>
        </is>
      </c>
    </row>
    <row r="20" ht="15" customHeight="1" s="22">
      <c r="B20" s="35" t="inlineStr">
        <is>
          <t>Audit-Logs</t>
        </is>
      </c>
      <c r="C20" s="35" t="inlineStr">
        <is>
          <t>6</t>
        </is>
      </c>
      <c r="D20" s="35" t="inlineStr">
        <is>
          <t>6</t>
        </is>
      </c>
      <c r="E20" s="38" t="inlineStr">
        <is>
          <t>0</t>
        </is>
      </c>
      <c r="F20" s="38" t="inlineStr">
        <is>
          <t>0</t>
        </is>
      </c>
      <c r="G20" s="38" t="inlineStr">
        <is>
          <t>100%</t>
        </is>
      </c>
    </row>
    <row r="21" ht="15" customHeight="1" s="22">
      <c r="B21" s="35" t="inlineStr">
        <is>
          <t>Auth-Login</t>
        </is>
      </c>
      <c r="C21" s="35" t="inlineStr">
        <is>
          <t>16</t>
        </is>
      </c>
      <c r="D21" s="35" t="inlineStr">
        <is>
          <t>16</t>
        </is>
      </c>
      <c r="E21" s="38" t="inlineStr">
        <is>
          <t>0</t>
        </is>
      </c>
      <c r="F21" s="38" t="inlineStr">
        <is>
          <t>0</t>
        </is>
      </c>
      <c r="G21" s="38" t="inlineStr">
        <is>
          <t>100%</t>
        </is>
      </c>
    </row>
    <row r="22" ht="15" customHeight="1" s="22">
      <c r="B22" s="35" t="inlineStr">
        <is>
          <t>Care-Provided</t>
        </is>
      </c>
      <c r="C22" s="35" t="inlineStr">
        <is>
          <t>16</t>
        </is>
      </c>
      <c r="D22" s="35" t="inlineStr">
        <is>
          <t>16</t>
        </is>
      </c>
      <c r="E22" s="38" t="inlineStr">
        <is>
          <t>0</t>
        </is>
      </c>
      <c r="F22" s="38" t="inlineStr">
        <is>
          <t>0</t>
        </is>
      </c>
      <c r="G22" s="38" t="inlineStr">
        <is>
          <t>100%</t>
        </is>
      </c>
    </row>
    <row r="23" ht="15" customHeight="1" s="22">
      <c r="B23" s="35" t="inlineStr">
        <is>
          <t>Dashboard</t>
        </is>
      </c>
      <c r="C23" s="35" t="inlineStr">
        <is>
          <t>5</t>
        </is>
      </c>
      <c r="D23" s="35" t="inlineStr">
        <is>
          <t>4</t>
        </is>
      </c>
      <c r="E23" s="38" t="inlineStr">
        <is>
          <t>0</t>
        </is>
      </c>
      <c r="F23" s="38" t="inlineStr">
        <is>
          <t>1</t>
        </is>
      </c>
      <c r="G23" s="38" t="inlineStr">
        <is>
          <t>100%</t>
        </is>
      </c>
    </row>
    <row r="24" ht="15" customHeight="1" s="22">
      <c r="B24" s="35" t="inlineStr">
        <is>
          <t>Donations</t>
        </is>
      </c>
      <c r="C24" s="35" t="inlineStr">
        <is>
          <t>18</t>
        </is>
      </c>
      <c r="D24" s="35" t="inlineStr">
        <is>
          <t>18</t>
        </is>
      </c>
      <c r="E24" s="38" t="inlineStr">
        <is>
          <t>0</t>
        </is>
      </c>
      <c r="F24" s="38" t="inlineStr">
        <is>
          <t>0</t>
        </is>
      </c>
      <c r="G24" s="38" t="inlineStr">
        <is>
          <t>100%</t>
        </is>
      </c>
    </row>
    <row r="25" ht="15" customHeight="1" s="22">
      <c r="B25" s="35" t="inlineStr">
        <is>
          <t>Donors</t>
        </is>
      </c>
      <c r="C25" s="35" t="inlineStr">
        <is>
          <t>17</t>
        </is>
      </c>
      <c r="D25" s="35" t="inlineStr">
        <is>
          <t>17</t>
        </is>
      </c>
      <c r="E25" s="38" t="inlineStr">
        <is>
          <t>0</t>
        </is>
      </c>
      <c r="F25" s="38" t="inlineStr">
        <is>
          <t>0</t>
        </is>
      </c>
      <c r="G25" s="38" t="inlineStr">
        <is>
          <t>100%</t>
        </is>
      </c>
    </row>
    <row r="26" ht="15" customHeight="1" s="22">
      <c r="B26" s="35" t="inlineStr">
        <is>
          <t>File-Upload</t>
        </is>
      </c>
      <c r="C26" s="35" t="inlineStr">
        <is>
          <t>8</t>
        </is>
      </c>
      <c r="D26" s="35" t="inlineStr">
        <is>
          <t>8</t>
        </is>
      </c>
      <c r="E26" s="38" t="inlineStr">
        <is>
          <t>0</t>
        </is>
      </c>
      <c r="F26" s="38" t="inlineStr">
        <is>
          <t>0</t>
        </is>
      </c>
      <c r="G26" s="38" t="inlineStr">
        <is>
          <t>100%</t>
        </is>
      </c>
    </row>
    <row r="27" ht="15" customHeight="1" s="22">
      <c r="B27" s="35" t="inlineStr">
        <is>
          <t>Loan-Repayments</t>
        </is>
      </c>
      <c r="C27" s="35" t="inlineStr">
        <is>
          <t>8</t>
        </is>
      </c>
      <c r="D27" s="35" t="inlineStr">
        <is>
          <t>8</t>
        </is>
      </c>
      <c r="E27" s="38" t="inlineStr">
        <is>
          <t>0</t>
        </is>
      </c>
      <c r="F27" s="38" t="inlineStr">
        <is>
          <t>0</t>
        </is>
      </c>
      <c r="G27" s="38" t="inlineStr">
        <is>
          <t>100%</t>
        </is>
      </c>
    </row>
    <row r="28">
      <c r="B28" s="38" t="inlineStr">
        <is>
          <t>Loans</t>
        </is>
      </c>
      <c r="C28" s="38" t="inlineStr">
        <is>
          <t>17</t>
        </is>
      </c>
      <c r="D28" s="38" t="inlineStr">
        <is>
          <t>17</t>
        </is>
      </c>
      <c r="E28" s="38" t="inlineStr">
        <is>
          <t>0</t>
        </is>
      </c>
      <c r="F28" s="38" t="inlineStr">
        <is>
          <t>0</t>
        </is>
      </c>
      <c r="G28" s="38" t="inlineStr">
        <is>
          <t>100%</t>
        </is>
      </c>
    </row>
    <row r="29" ht="15" customHeight="1" s="22">
      <c r="B29" s="39" t="inlineStr">
        <is>
          <t>Localization-i18n</t>
        </is>
      </c>
      <c r="C29" s="38" t="inlineStr">
        <is>
          <t>4</t>
        </is>
      </c>
      <c r="D29" s="38" t="inlineStr">
        <is>
          <t>4</t>
        </is>
      </c>
      <c r="E29" s="38" t="inlineStr">
        <is>
          <t>0</t>
        </is>
      </c>
      <c r="F29" s="38" t="inlineStr">
        <is>
          <t>0</t>
        </is>
      </c>
      <c r="G29" s="38" t="inlineStr">
        <is>
          <t>100%</t>
        </is>
      </c>
    </row>
    <row r="30" ht="45" customHeight="1" s="22">
      <c r="B30" s="40" t="inlineStr">
        <is>
          <t>Messages</t>
        </is>
      </c>
      <c r="C30" s="38" t="inlineStr">
        <is>
          <t>10</t>
        </is>
      </c>
      <c r="D30" s="38" t="inlineStr">
        <is>
          <t>10</t>
        </is>
      </c>
      <c r="E30" s="38" t="inlineStr">
        <is>
          <t>0</t>
        </is>
      </c>
      <c r="F30" s="38" t="inlineStr">
        <is>
          <t>0</t>
        </is>
      </c>
      <c r="G30" s="38" t="inlineStr">
        <is>
          <t>100%</t>
        </is>
      </c>
    </row>
    <row r="31">
      <c r="B31" s="38" t="inlineStr">
        <is>
          <t>Notifications</t>
        </is>
      </c>
      <c r="C31" s="38" t="inlineStr">
        <is>
          <t>6</t>
        </is>
      </c>
      <c r="D31" s="38" t="inlineStr">
        <is>
          <t>6</t>
        </is>
      </c>
      <c r="E31" s="38" t="inlineStr">
        <is>
          <t>0</t>
        </is>
      </c>
      <c r="F31" s="38" t="inlineStr">
        <is>
          <t>0</t>
        </is>
      </c>
      <c r="G31" s="38" t="inlineStr">
        <is>
          <t>100%</t>
        </is>
      </c>
    </row>
    <row r="32" ht="15" customHeight="1" s="22">
      <c r="B32" s="39" t="inlineStr">
        <is>
          <t>Offline-Sync</t>
        </is>
      </c>
      <c r="C32" s="38" t="inlineStr">
        <is>
          <t>6</t>
        </is>
      </c>
      <c r="D32" s="38" t="inlineStr">
        <is>
          <t>6</t>
        </is>
      </c>
      <c r="E32" s="38" t="inlineStr">
        <is>
          <t>0</t>
        </is>
      </c>
      <c r="F32" s="38" t="inlineStr">
        <is>
          <t>0</t>
        </is>
      </c>
      <c r="G32" s="38" t="inlineStr">
        <is>
          <t>100%</t>
        </is>
      </c>
    </row>
    <row r="33">
      <c r="B33" s="38" t="inlineStr">
        <is>
          <t>Persons-Beneficiaries</t>
        </is>
      </c>
      <c r="C33" s="38" t="inlineStr">
        <is>
          <t>17</t>
        </is>
      </c>
      <c r="D33" s="38" t="inlineStr">
        <is>
          <t>17</t>
        </is>
      </c>
      <c r="E33" s="38" t="inlineStr">
        <is>
          <t>0</t>
        </is>
      </c>
      <c r="F33" s="38" t="inlineStr">
        <is>
          <t>0</t>
        </is>
      </c>
      <c r="G33" s="38" t="inlineStr">
        <is>
          <t>100%</t>
        </is>
      </c>
    </row>
    <row r="34" ht="23.85" customHeight="1" s="22">
      <c r="B34" s="41" t="inlineStr">
        <is>
          <t>Reports</t>
        </is>
      </c>
      <c r="C34" s="41" t="inlineStr">
        <is>
          <t>9</t>
        </is>
      </c>
      <c r="D34" s="41" t="inlineStr">
        <is>
          <t>9</t>
        </is>
      </c>
      <c r="E34" s="41" t="inlineStr">
        <is>
          <t>0</t>
        </is>
      </c>
      <c r="F34" s="38" t="inlineStr">
        <is>
          <t>0</t>
        </is>
      </c>
      <c r="G34" s="38" t="inlineStr">
        <is>
          <t>100%</t>
        </is>
      </c>
    </row>
    <row r="35" ht="45" customHeight="1" s="22">
      <c r="B35" s="35" t="inlineStr">
        <is>
          <t>Revenue</t>
        </is>
      </c>
      <c r="C35" s="35" t="inlineStr">
        <is>
          <t>7</t>
        </is>
      </c>
      <c r="D35" s="35" t="inlineStr">
        <is>
          <t>7</t>
        </is>
      </c>
      <c r="E35" s="35" t="inlineStr">
        <is>
          <t>0</t>
        </is>
      </c>
      <c r="F35" s="38" t="inlineStr">
        <is>
          <t>0</t>
        </is>
      </c>
      <c r="G35" s="38" t="inlineStr">
        <is>
          <t>100%</t>
        </is>
      </c>
    </row>
    <row r="36" ht="45" customHeight="1" s="22">
      <c r="B36" s="35" t="inlineStr">
        <is>
          <t>Security-RBAC</t>
        </is>
      </c>
      <c r="C36" s="35" t="inlineStr">
        <is>
          <t>9</t>
        </is>
      </c>
      <c r="D36" s="35" t="inlineStr">
        <is>
          <t>9</t>
        </is>
      </c>
      <c r="E36" s="35" t="inlineStr">
        <is>
          <t>0</t>
        </is>
      </c>
      <c r="F36" s="38" t="inlineStr">
        <is>
          <t>0</t>
        </is>
      </c>
      <c r="G36" s="38" t="inlineStr">
        <is>
          <t>100%</t>
        </is>
      </c>
    </row>
    <row r="37" ht="45" customHeight="1" s="22">
      <c r="B37" s="35" t="inlineStr">
        <is>
          <t>Students</t>
        </is>
      </c>
      <c r="C37" s="35" t="inlineStr">
        <is>
          <t>18</t>
        </is>
      </c>
      <c r="D37" s="35" t="inlineStr">
        <is>
          <t>18</t>
        </is>
      </c>
      <c r="E37" s="35" t="inlineStr">
        <is>
          <t>0</t>
        </is>
      </c>
      <c r="F37" s="38" t="inlineStr">
        <is>
          <t>0</t>
        </is>
      </c>
      <c r="G37" s="38" t="inlineStr">
        <is>
          <t>100%</t>
        </is>
      </c>
    </row>
    <row r="38" ht="45" customHeight="1" s="22">
      <c r="B38" s="35" t="inlineStr">
        <is>
          <t>User-Management</t>
        </is>
      </c>
      <c r="C38" s="35" t="inlineStr">
        <is>
          <t>10</t>
        </is>
      </c>
      <c r="D38" s="35" t="inlineStr">
        <is>
          <t>10</t>
        </is>
      </c>
      <c r="E38" s="35" t="inlineStr">
        <is>
          <t>0</t>
        </is>
      </c>
      <c r="F38" s="38" t="inlineStr">
        <is>
          <t>0</t>
        </is>
      </c>
      <c r="G38" s="38" t="inlineStr">
        <is>
          <t>100%</t>
        </is>
      </c>
    </row>
    <row r="39" ht="45" customHeight="1" s="22">
      <c r="B39" s="35" t="inlineStr">
        <is>
          <t>TOTAL</t>
        </is>
      </c>
      <c r="C39" s="35" t="inlineStr">
        <is>
          <t>232</t>
        </is>
      </c>
      <c r="D39" s="35" t="inlineStr">
        <is>
          <t>231</t>
        </is>
      </c>
      <c r="E39" s="35" t="inlineStr">
        <is>
          <t>0</t>
        </is>
      </c>
      <c r="F39" s="38" t="inlineStr">
        <is>
          <t>1</t>
        </is>
      </c>
      <c r="G39" s="38" t="inlineStr">
        <is>
          <t>100%</t>
        </is>
      </c>
    </row>
    <row r="40" ht="45" customHeight="1" s="22">
      <c r="B40" s="35" t="inlineStr"/>
      <c r="C40" s="35" t="n"/>
      <c r="D40" s="35" t="n"/>
      <c r="E40" s="35" t="n"/>
      <c r="F40" s="38" t="n"/>
      <c r="G40" s="38" t="n"/>
    </row>
    <row r="41" ht="45" customHeight="1" s="22">
      <c r="B41" s="35" t="inlineStr">
        <is>
          <t>Failures observed (0) - product behaviour to review</t>
        </is>
      </c>
      <c r="C41" s="34" t="n"/>
      <c r="D41" s="34" t="n"/>
      <c r="E41" s="34" t="n"/>
    </row>
    <row r="42">
      <c r="B42" s="38" t="inlineStr">
        <is>
          <t>none</t>
        </is>
      </c>
      <c r="C42" s="38" t="inlineStr">
        <is>
          <t>No automated case failed in this run.</t>
        </is>
      </c>
    </row>
    <row r="43" ht="15" customHeight="1" s="22">
      <c r="B43" s="39" t="inlineStr"/>
      <c r="C43" s="38" t="n"/>
    </row>
    <row r="44">
      <c r="B44" s="38" t="inlineStr">
        <is>
          <t>Blocked / not executed (1)</t>
        </is>
      </c>
      <c r="C44" s="38" t="n"/>
    </row>
    <row r="45" ht="15" customHeight="1" s="22">
      <c r="B45" s="41" t="inlineStr">
        <is>
          <t>Note</t>
        </is>
      </c>
      <c r="C45" s="41" t="inlineStr">
        <is>
          <t>Cases with no automated executor keep the workbook's manual-execution placeholder; the rest were skipped because a live prerequisite was unavailable.</t>
        </is>
      </c>
    </row>
    <row r="46" ht="45" customHeight="1" s="22">
      <c r="B46" s="35" t="inlineStr">
        <is>
          <t>No executor mapped (0)</t>
        </is>
      </c>
      <c r="C46" s="35" t="inlineStr">
        <is>
          <t>none</t>
        </is>
      </c>
    </row>
    <row r="47" ht="45" customHeight="1" s="22">
      <c r="B47" s="35" t="inlineStr">
        <is>
          <t>Environment prerequisite missing (1)</t>
        </is>
      </c>
      <c r="C47" s="35" t="inlineStr">
        <is>
          <t>DASH-005</t>
        </is>
      </c>
    </row>
    <row r="48" ht="45" customHeight="1" s="22">
      <c r="B48" s="35" t="inlineStr"/>
      <c r="C48" s="35" t="n"/>
    </row>
    <row r="49" ht="45" customHeight="1" s="22">
      <c r="B49" s="35" t="inlineStr">
        <is>
          <t>Honesty statement</t>
        </is>
      </c>
      <c r="C49" s="35" t="n"/>
    </row>
    <row r="50">
      <c r="B50" s="38" t="inlineStr">
        <is>
          <t>-</t>
        </is>
      </c>
      <c r="C50" s="38" t="inlineStr">
        <is>
          <t>Every Pass/Fail result above was captured live from the running server; nothing is extrapolated.</t>
        </is>
      </c>
    </row>
    <row r="51" ht="15" customHeight="1" s="22">
      <c r="B51" s="39" t="inlineStr">
        <is>
          <t>-</t>
        </is>
      </c>
      <c r="C51" s="38" t="inlineStr">
        <is>
          <t>Rows marked Blocked were NOT executed and are not marked Pass.</t>
        </is>
      </c>
    </row>
    <row r="52" ht="15" customHeight="1" s="22">
      <c r="B52" s="40" t="inlineStr">
        <is>
          <t>-</t>
        </is>
      </c>
      <c r="C52" s="40" t="inlineStr">
        <is>
          <t>'Tested By' reads 'Cline (automated agent, HTTP-level)', not a human name; human sign-off is still required.</t>
        </is>
      </c>
    </row>
    <row r="53" ht="23.85" customHeight="1" s="22">
      <c r="B53" s="40" t="inlineStr">
        <is>
          <t>-</t>
        </is>
      </c>
      <c r="C53" s="40" t="inlineStr">
        <is>
          <t>127.0.0.1:8081 is a local dev instance, not a confirmed staging/live environment; re-verify there before sign-off.</t>
        </is>
      </c>
    </row>
    <row r="54" ht="15" customHeight="1" s="22">
      <c r="B54" s="40" t="n"/>
      <c r="C54" s="40" t="n"/>
    </row>
    <row r="55" ht="15" customHeight="1" s="22">
      <c r="B55" s="40" t="n"/>
      <c r="C55" s="40" t="n"/>
    </row>
    <row r="56">
      <c r="B56" s="38" t="n"/>
      <c r="C56" s="38" t="n"/>
    </row>
    <row r="57">
      <c r="B57" s="38" t="n"/>
      <c r="C57" s="38" t="n"/>
    </row>
    <row r="58">
      <c r="B58" s="38" t="n"/>
      <c r="C58" s="38" t="n"/>
    </row>
    <row r="59">
      <c r="B59" s="38" t="n"/>
      <c r="C59" s="38" t="n"/>
    </row>
    <row r="60">
      <c r="B60" s="38" t="n"/>
      <c r="C60" s="38" t="n"/>
    </row>
    <row r="61">
      <c r="B61" s="38" t="inlineStr"/>
      <c r="C61" s="38" t="n"/>
    </row>
    <row r="62">
      <c r="B62" s="38" t="n"/>
      <c r="C62" s="38" t="n"/>
    </row>
    <row r="63">
      <c r="B63" s="38" t="n"/>
      <c r="C63" s="38" t="n"/>
    </row>
    <row r="64">
      <c r="B64" s="38" t="n"/>
      <c r="C64" s="38" t="n"/>
    </row>
    <row r="65">
      <c r="B65" s="38" t="n"/>
      <c r="C65" s="38" t="n"/>
    </row>
    <row r="66">
      <c r="B66" s="38" t="n"/>
      <c r="C66" s="38" t="n"/>
    </row>
    <row r="67">
      <c r="B67" s="38" t="n"/>
      <c r="C67" s="38" t="n"/>
    </row>
    <row r="68">
      <c r="B68" s="38" t="n"/>
      <c r="C68" s="38" t="n"/>
    </row>
    <row r="69">
      <c r="B69" s="38" t="n"/>
      <c r="C69" s="38" t="n"/>
    </row>
    <row r="70">
      <c r="B70" s="38" t="inlineStr"/>
    </row>
    <row r="71">
      <c r="B71" s="38" t="n"/>
    </row>
    <row r="72">
      <c r="B72" s="38" t="n"/>
      <c r="C72" s="38" t="n"/>
    </row>
    <row r="73">
      <c r="B73" s="38" t="n"/>
      <c r="C73" s="38" t="n"/>
    </row>
    <row r="74">
      <c r="B74" s="38" t="n"/>
      <c r="C74" s="38" t="n"/>
    </row>
    <row r="75">
      <c r="B75" s="38" t="n"/>
      <c r="C75" s="38" t="n"/>
    </row>
    <row r="76"/>
    <row r="77"/>
  </sheetData>
  <mergeCells count="2">
    <mergeCell ref="B2:F2"/>
    <mergeCell ref="B3:F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AUTH-001</t>
        </is>
      </c>
      <c r="B2" s="34" t="inlineStr">
        <is>
          <t>Login page loads correctly</t>
        </is>
      </c>
      <c r="C2" s="34" t="inlineStr">
        <is>
          <t>App is running</t>
        </is>
      </c>
      <c r="D2" s="34" t="inlineStr">
        <is>
          <t>1. Navigate to /login
2. Observe page</t>
        </is>
      </c>
      <c r="E2" s="34" t="inlineStr">
        <is>
          <t>N/A</t>
        </is>
      </c>
      <c r="F2" s="34" t="inlineStr">
        <is>
          <t>Login form with username/email and password fields is displayed</t>
        </is>
      </c>
      <c r="G2" s="35" t="inlineStr">
        <is>
          <t>GET /login -&gt; HTTP 200; login field=True, password field=True, form rendered.</t>
        </is>
      </c>
      <c r="H2" s="36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AUTH-002</t>
        </is>
      </c>
      <c r="B3" s="34" t="inlineStr">
        <is>
          <t>Login with valid credentials</t>
        </is>
      </c>
      <c r="C3" s="34" t="inlineStr">
        <is>
          <t>A valid active user account exists</t>
        </is>
      </c>
      <c r="D3" s="34" t="inlineStr">
        <is>
          <t>1. Go to /login
2. Enter valid username &amp; password
3. Click Login</t>
        </is>
      </c>
      <c r="E3" s="34" t="inlineStr">
        <is>
          <t>Valid username + correct password</t>
        </is>
      </c>
      <c r="F3" s="34" t="inlineStr">
        <is>
          <t>User is authenticated and redirected to /dashboard</t>
        </is>
      </c>
      <c r="G3" s="35" t="inlineStr">
        <is>
          <t>POST /login (qa_admin) -&gt; HTTP 303 + Set-Cookie pwams_session; GET /auth/me -&gt; HTTP 200 username=qa_admin role=Admin.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AUTH-003</t>
        </is>
      </c>
      <c r="B4" s="34" t="inlineStr">
        <is>
          <t>Login with invalid password</t>
        </is>
      </c>
      <c r="C4" s="34" t="inlineStr">
        <is>
          <t>A valid user account exists</t>
        </is>
      </c>
      <c r="D4" s="34" t="inlineStr">
        <is>
          <t>1. Go to /login
2. Enter valid username, wrong password
3. Click Login</t>
        </is>
      </c>
      <c r="E4" s="34" t="inlineStr">
        <is>
          <t>Valid username + wrong password</t>
        </is>
      </c>
      <c r="F4" s="34" t="inlineStr">
        <is>
          <t>Login rejected with a generic invalid-credentials error; no account/role details leaked</t>
        </is>
      </c>
      <c r="G4" s="35" t="inlineStr">
        <is>
          <t>Wrong password for a valid username -&gt; HTTP 200; generic invalid-credentials message=True; account/role detail leaked=False.</t>
        </is>
      </c>
      <c r="H4" s="36" t="inlineStr">
        <is>
          <t>Pass</t>
        </is>
      </c>
      <c r="I4" s="34" t="inlineStr">
        <is>
          <t>High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AUTH-004</t>
        </is>
      </c>
      <c r="B5" s="34" t="inlineStr">
        <is>
          <t>Login with non-existent username</t>
        </is>
      </c>
      <c r="C5" s="34" t="inlineStr">
        <is>
          <t>N/A</t>
        </is>
      </c>
      <c r="D5" s="34" t="inlineStr">
        <is>
          <t>1. Go to /login
2. Enter unregistered username
3. Click Login</t>
        </is>
      </c>
      <c r="E5" s="34" t="inlineStr">
        <is>
          <t>Random username</t>
        </is>
      </c>
      <c r="F5" s="34" t="inlineStr">
        <is>
          <t>Login rejected with generic error message</t>
        </is>
      </c>
      <c r="G5" s="35" t="inlineStr">
        <is>
          <t>Unknown username -&gt; HTTP 200; generic message=True; no user-enumeration signal in body.</t>
        </is>
      </c>
      <c r="H5" s="36" t="inlineStr">
        <is>
          <t>Pass</t>
        </is>
      </c>
      <c r="I5" s="34" t="inlineStr">
        <is>
          <t>Medium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AUTH-005</t>
        </is>
      </c>
      <c r="B6" s="34" t="inlineStr">
        <is>
          <t>Login rate limiting</t>
        </is>
      </c>
      <c r="C6" s="34" t="inlineStr">
        <is>
          <t>N/A</t>
        </is>
      </c>
      <c r="D6" s="34" t="inlineStr">
        <is>
          <t>1. Attempt login with wrong password repeatedly (&gt;threshold) in short time</t>
        </is>
      </c>
      <c r="E6" s="34" t="inlineStr">
        <is>
          <t>Wrong credentials, repeated 6-10x</t>
        </is>
      </c>
      <c r="F6" s="34" t="inlineStr">
        <is>
          <t>Requests beyond the limit are throttled/blocked (HTTP 429 or lockout message)</t>
        </is>
      </c>
      <c r="G6" s="35" t="inlineStr">
        <is>
          <t>Repeated failed logins -&gt; statuses=[200, 200, 200, 200, 200, 429, 429]; HTTP 429 first observed at attempt 6 (loginLimiter 5 per 15 min per IP, Retry-After: 60).</t>
        </is>
      </c>
      <c r="H6" s="36" t="inlineStr">
        <is>
          <t>Pass</t>
        </is>
      </c>
      <c r="I6" s="34" t="inlineStr">
        <is>
          <t>High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AUTH-006</t>
        </is>
      </c>
      <c r="B7" s="34" t="inlineStr">
        <is>
          <t>Login with empty fields</t>
        </is>
      </c>
      <c r="C7" s="34" t="inlineStr">
        <is>
          <t>N/A</t>
        </is>
      </c>
      <c r="D7" s="34" t="inlineStr">
        <is>
          <t>1. Go to /login
2. Leave username/password blank
3. Click Login</t>
        </is>
      </c>
      <c r="E7" s="34" t="inlineStr">
        <is>
          <t>Empty fields</t>
        </is>
      </c>
      <c r="F7" s="34" t="inlineStr">
        <is>
          <t>Client/server-side validation error shown; request not processed</t>
        </is>
      </c>
      <c r="G7" s="35" t="inlineStr">
        <is>
          <t>POST /login with empty fields -&gt; HTTP 200; server-side validation message rendered on the re-displayed login page=True; validation text present=True; session cookie issued=False.</t>
        </is>
      </c>
      <c r="H7" s="37" t="inlineStr">
        <is>
          <t>Pass</t>
        </is>
      </c>
      <c r="I7" s="34" t="inlineStr">
        <is>
          <t>Low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AUTH-007</t>
        </is>
      </c>
      <c r="B8" s="34" t="inlineStr">
        <is>
          <t>Forgot password - request OTP</t>
        </is>
      </c>
      <c r="C8" s="34" t="inlineStr">
        <is>
          <t>A registered email exists</t>
        </is>
      </c>
      <c r="D8" s="34" t="inlineStr">
        <is>
          <t>1. Go to /forgot-password
2. Enter registered email
3. Submit</t>
        </is>
      </c>
      <c r="E8" s="34" t="inlineStr">
        <is>
          <t>Registered email</t>
        </is>
      </c>
      <c r="F8" s="34" t="inlineStr">
        <is>
          <t>OTP/reset email is triggered and generic confirmation message is shown</t>
        </is>
      </c>
      <c r="G8" s="35" t="inlineStr">
        <is>
          <t>POST /forgot-password (registered email) -&gt; HTTP 200; reset OTP email delivered to the SMTP sandbox=True; OTP captured=True; body='{"message":"Password reset OTP sent successfully","success":true}'.</t>
        </is>
      </c>
      <c r="H8" s="37" t="inlineStr">
        <is>
          <t>Pass</t>
        </is>
      </c>
      <c r="I8" s="34" t="inlineStr">
        <is>
          <t>High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AUTH-008</t>
        </is>
      </c>
      <c r="B9" s="34" t="inlineStr">
        <is>
          <t>Forgot password - unregistered email</t>
        </is>
      </c>
      <c r="C9" s="34" t="inlineStr">
        <is>
          <t>N/A</t>
        </is>
      </c>
      <c r="D9" s="34" t="inlineStr">
        <is>
          <t>1. Go to /forgot-password
2. Enter unregistered email
3. Submit</t>
        </is>
      </c>
      <c r="E9" s="34" t="inlineStr">
        <is>
          <t>Unregistered email</t>
        </is>
      </c>
      <c r="F9" s="34" t="inlineStr">
        <is>
          <t>Generic confirmation shown without revealing whether the email exists (no enumeration)</t>
        </is>
      </c>
      <c r="G9" s="35" t="inlineStr">
        <is>
          <t>POST /forgot-password (unregistered email) -&gt; HTTP 200; generic response='Password reset OTP sent successfully'; no existence disclosure (anti-enumeration response).</t>
        </is>
      </c>
      <c r="H9" s="37" t="inlineStr">
        <is>
          <t>Pass</t>
        </is>
      </c>
      <c r="I9" s="34" t="inlineStr">
        <is>
          <t>Medium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AUTH-009</t>
        </is>
      </c>
      <c r="B10" s="34" t="inlineStr">
        <is>
          <t>Verify reset OTP - valid code</t>
        </is>
      </c>
      <c r="C10" s="34" t="inlineStr">
        <is>
          <t>OTP requested previously</t>
        </is>
      </c>
      <c r="D10" s="34" t="inlineStr">
        <is>
          <t>1. Go to /verify-reset-otp
2. Enter correct OTP
3. Submit</t>
        </is>
      </c>
      <c r="E10" s="34" t="inlineStr">
        <is>
          <t>Valid OTP</t>
        </is>
      </c>
      <c r="F10" s="34" t="inlineStr">
        <is>
          <t>OTP accepted; user proceeds to reset-password step</t>
        </is>
      </c>
      <c r="G10" s="35" t="inlineStr">
        <is>
          <t>POST /verify-reset-otp with the OTP from the delivered email -&gt; HTTP 200; response='{"message":"OTP verified successfully","success":true}'; user may proceed to the reset-password step.</t>
        </is>
      </c>
      <c r="H10" s="37" t="inlineStr">
        <is>
          <t>Pass</t>
        </is>
      </c>
      <c r="I10" s="34" t="inlineStr">
        <is>
          <t>High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1" ht="75" customHeight="1" s="22">
      <c r="A11" s="34" t="inlineStr">
        <is>
          <t>AUTH-010</t>
        </is>
      </c>
      <c r="B11" s="34" t="inlineStr">
        <is>
          <t>Verify reset OTP - invalid/expired code</t>
        </is>
      </c>
      <c r="C11" s="34" t="inlineStr">
        <is>
          <t>OTP requested previously</t>
        </is>
      </c>
      <c r="D11" s="34" t="inlineStr">
        <is>
          <t>1. Go to /verify-reset-otp
2. Enter wrong/expired OTP
3. Submit</t>
        </is>
      </c>
      <c r="E11" s="34" t="inlineStr">
        <is>
          <t>Invalid OTP</t>
        </is>
      </c>
      <c r="F11" s="34" t="inlineStr">
        <is>
          <t>OTP rejected with an appropriate error; user cannot proceed</t>
        </is>
      </c>
      <c r="G11" s="35" t="inlineStr">
        <is>
          <t>POST /verify-reset-otp with a wrong code -&gt; HTTP 400; response='{"message":"Invalid or expired code","success":false}'; user cannot proceed.</t>
        </is>
      </c>
      <c r="H11" s="37" t="inlineStr">
        <is>
          <t>Pass</t>
        </is>
      </c>
      <c r="I11" s="34" t="inlineStr">
        <is>
          <t>High</t>
        </is>
      </c>
      <c r="J11" s="34" t="inlineStr">
        <is>
          <t>Cline (automated agent, HTTP-level execution)</t>
        </is>
      </c>
      <c r="K11" s="34" t="inlineStr">
        <is>
          <t>2026-09-29</t>
        </is>
      </c>
      <c r="L11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2" ht="75" customHeight="1" s="22">
      <c r="A12" s="34" t="inlineStr">
        <is>
          <t>AUTH-011</t>
        </is>
      </c>
      <c r="B12" s="34" t="inlineStr">
        <is>
          <t>Reset password with valid session</t>
        </is>
      </c>
      <c r="C12" s="34" t="inlineStr">
        <is>
          <t>OTP verified</t>
        </is>
      </c>
      <c r="D12" s="34" t="inlineStr">
        <is>
          <t>1. Go to /reset-password
2. Enter new password + confirmation
3. Submit</t>
        </is>
      </c>
      <c r="E12" s="34" t="inlineStr">
        <is>
          <t>New strong password</t>
        </is>
      </c>
      <c r="F12" s="34" t="inlineStr">
        <is>
          <t>Password updated; user can log in with new password</t>
        </is>
      </c>
      <c r="G12" s="35" t="inlineStr">
        <is>
          <t>POST /verify-reset-otp with a freshly delivered OTP -&gt; HTTP 200 ('{"message":"OTP verified successfully","success":true}'); POST /reset-password -&gt; HTTP 200 ('{"message":"Password reset successfully","success":true}'); subsequent POST /login with the new password -&gt; HTTP 303 (session established). Full forgot-password reset, both steps.</t>
        </is>
      </c>
      <c r="H12" s="37" t="inlineStr">
        <is>
          <t>Pass</t>
        </is>
      </c>
      <c r="I12" s="34" t="inlineStr">
        <is>
          <t>High</t>
        </is>
      </c>
      <c r="J12" s="34" t="inlineStr">
        <is>
          <t>Cline (automated agent, HTTP-level execution)</t>
        </is>
      </c>
      <c r="K12" s="34" t="inlineStr">
        <is>
          <t>2026-09-29</t>
        </is>
      </c>
      <c r="L1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3" ht="75" customHeight="1" s="22">
      <c r="A13" s="34" t="inlineStr">
        <is>
          <t>AUTH-012</t>
        </is>
      </c>
      <c r="B13" s="34" t="inlineStr">
        <is>
          <t>Reset password - weak password rejected</t>
        </is>
      </c>
      <c r="C13" s="34" t="inlineStr">
        <is>
          <t>OTP verified</t>
        </is>
      </c>
      <c r="D13" s="34" t="inlineStr">
        <is>
          <t>1. Go to /reset-password
2. Enter weak password (e.g. '123')
3. Submit</t>
        </is>
      </c>
      <c r="E13" s="34" t="inlineStr">
        <is>
          <t>Weak password</t>
        </is>
      </c>
      <c r="F13" s="34" t="inlineStr">
        <is>
          <t>Password policy validation error is shown; password not changed</t>
        </is>
      </c>
      <c r="G13" s="35" t="inlineStr">
        <is>
          <t>POST /verify-reset-otp -&gt; HTTP 200; POST /reset-password with weak password '123' -&gt; HTTP 400; response='{"message":"Email, OTP, new password and confirm password are required","success":false}'; signing in with '123' afterwards -&gt; HTTP 200 (must not be 303: the password was not changed).</t>
        </is>
      </c>
      <c r="H13" s="37" t="inlineStr">
        <is>
          <t>Pass</t>
        </is>
      </c>
      <c r="I13" s="34" t="inlineStr">
        <is>
          <t>Medium</t>
        </is>
      </c>
      <c r="J13" s="34" t="inlineStr">
        <is>
          <t>Cline (automated agent, HTTP-level execution)</t>
        </is>
      </c>
      <c r="K13" s="34" t="inlineStr">
        <is>
          <t>2026-09-29</t>
        </is>
      </c>
      <c r="L1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4" ht="75" customHeight="1" s="22">
      <c r="A14" s="34" t="inlineStr">
        <is>
          <t>AUTH-013</t>
        </is>
      </c>
      <c r="B14" s="34" t="inlineStr">
        <is>
          <t>Rate limit on password reset endpoints</t>
        </is>
      </c>
      <c r="C14" s="34" t="inlineStr">
        <is>
          <t>N/A</t>
        </is>
      </c>
      <c r="D14" s="34" t="inlineStr">
        <is>
          <t>1. Repeatedly POST /forgot-password or /reset-password beyond threshold</t>
        </is>
      </c>
      <c r="E14" s="34" t="inlineStr">
        <is>
          <t>Repeated requests</t>
        </is>
      </c>
      <c r="F14" s="34" t="inlineStr">
        <is>
          <t>Requests are throttled after the configured limit</t>
        </is>
      </c>
      <c r="G14" s="35" t="inlineStr">
        <is>
          <t>Repeated POST /forgot-password -&gt; statuses=[200, 200, 200, 429, 429, 429]; throttled with HTTP 429 after the configured limit (resetLimiter 3 per 15 min per IP, Retry-After: 60).</t>
        </is>
      </c>
      <c r="H14" s="37" t="inlineStr">
        <is>
          <t>Pass</t>
        </is>
      </c>
      <c r="I14" s="34" t="inlineStr">
        <is>
          <t>Medium</t>
        </is>
      </c>
      <c r="J14" s="34" t="inlineStr">
        <is>
          <t>Cline (automated agent, HTTP-level execution)</t>
        </is>
      </c>
      <c r="K14" s="34" t="inlineStr">
        <is>
          <t>2026-09-29</t>
        </is>
      </c>
      <c r="L1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5" ht="75" customHeight="1" s="22">
      <c r="A15" s="34" t="inlineStr">
        <is>
          <t>AUTH-014</t>
        </is>
      </c>
      <c r="B15" s="34" t="inlineStr">
        <is>
          <t>Logout</t>
        </is>
      </c>
      <c r="C15" s="34" t="inlineStr">
        <is>
          <t>User is logged in</t>
        </is>
      </c>
      <c r="D15" s="34" t="inlineStr">
        <is>
          <t>1. Click Logout / POST /logout</t>
        </is>
      </c>
      <c r="E15" s="34" t="inlineStr">
        <is>
          <t>N/A</t>
        </is>
      </c>
      <c r="F15" s="34" t="inlineStr">
        <is>
          <t>Session/cookie invalidated; user redirected to /login; protected pages become inaccessible</t>
        </is>
      </c>
      <c r="G15" s="35" t="inlineStr">
        <is>
          <t>POST /logout -&gt; HTTP 303; GET /auth/me before logout -&gt; HTTP 200, after logout -&gt; HTTP 401; GET /dashboard after logout -&gt; HTTP 303 (redirect to /login); session cookie cleared and server-side session revoked.</t>
        </is>
      </c>
      <c r="H15" s="37" t="inlineStr">
        <is>
          <t>Pass</t>
        </is>
      </c>
      <c r="I15" s="34" t="inlineStr">
        <is>
          <t>High</t>
        </is>
      </c>
      <c r="J15" s="34" t="inlineStr">
        <is>
          <t>Cline (automated agent, HTTP-level execution)</t>
        </is>
      </c>
      <c r="K15" s="34" t="inlineStr">
        <is>
          <t>2026-09-29</t>
        </is>
      </c>
      <c r="L1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6" ht="75" customHeight="1" s="22">
      <c r="A16" s="34" t="inlineStr">
        <is>
          <t>AUTH-015</t>
        </is>
      </c>
      <c r="B16" s="34" t="inlineStr">
        <is>
          <t>Session/current user info</t>
        </is>
      </c>
      <c r="C16" s="34" t="inlineStr">
        <is>
          <t>User is logged in</t>
        </is>
      </c>
      <c r="D16" s="34" t="inlineStr">
        <is>
          <t>1. Call GET /auth/me</t>
        </is>
      </c>
      <c r="E16" s="34" t="inlineStr">
        <is>
          <t>N/A</t>
        </is>
      </c>
      <c r="F16" s="34" t="inlineStr">
        <is>
          <t>Returns current username, email, role with HTTP 200</t>
        </is>
      </c>
      <c r="G16" s="35" t="inlineStr">
        <is>
          <t>GET /auth/me with a valid session -&gt; HTTP 200; username=qa_admin, email=qa_admin@qa.local, role=Admin.</t>
        </is>
      </c>
      <c r="H16" s="37" t="inlineStr">
        <is>
          <t>Pass</t>
        </is>
      </c>
      <c r="I16" s="34" t="inlineStr">
        <is>
          <t>Low</t>
        </is>
      </c>
      <c r="J16" s="34" t="inlineStr">
        <is>
          <t>Cline (automated agent, HTTP-level execution)</t>
        </is>
      </c>
      <c r="K16" s="34" t="inlineStr">
        <is>
          <t>2026-09-29</t>
        </is>
      </c>
      <c r="L1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7" ht="75" customHeight="1" s="22">
      <c r="A17" s="34" t="inlineStr">
        <is>
          <t>AUTH-016</t>
        </is>
      </c>
      <c r="B17" s="34" t="inlineStr">
        <is>
          <t>Access /auth/me while logged out</t>
        </is>
      </c>
      <c r="C17" s="34" t="inlineStr">
        <is>
          <t>No active session</t>
        </is>
      </c>
      <c r="D17" s="34" t="inlineStr">
        <is>
          <t>1. Call GET /auth/me without auth</t>
        </is>
      </c>
      <c r="E17" s="34" t="inlineStr">
        <is>
          <t>N/A</t>
        </is>
      </c>
      <c r="F17" s="34" t="inlineStr">
        <is>
          <t>HTTP 401 Unauthorized with generic message</t>
        </is>
      </c>
      <c r="G17" s="35" t="inlineStr">
        <is>
          <t>GET /auth/me without a session -&gt; HTTP 401; body='{"message":"Authentication required","success":false}' (401 Unauthorized, generic message).</t>
        </is>
      </c>
      <c r="H17" s="37" t="inlineStr">
        <is>
          <t>Pass</t>
        </is>
      </c>
      <c r="I17" s="34" t="inlineStr">
        <is>
          <t>Medium</t>
        </is>
      </c>
      <c r="J17" s="34" t="inlineStr">
        <is>
          <t>Cline (automated agent, HTTP-level execution)</t>
        </is>
      </c>
      <c r="K17" s="34" t="inlineStr">
        <is>
          <t>2026-09-29</t>
        </is>
      </c>
      <c r="L1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17"/>
  <dataValidations count="2">
    <dataValidation sqref="H2:H17" showDropDown="0" showInputMessage="0" showErrorMessage="0" allowBlank="0" type="list" errorStyle="stop" operator="between">
      <formula1>"Pass,Fail,Blocked,Not Executed"</formula1>
      <formula2>0</formula2>
    </dataValidation>
    <dataValidation sqref="I2:I17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ACT-001</t>
        </is>
      </c>
      <c r="B2" s="34" t="inlineStr">
        <is>
          <t>Request account activation - valid user</t>
        </is>
      </c>
      <c r="C2" s="34" t="inlineStr">
        <is>
          <t>Inactive/unactivated account exists</t>
        </is>
      </c>
      <c r="D2" s="34" t="inlineStr">
        <is>
          <t>1. POST /request-account-activation with account identifier</t>
        </is>
      </c>
      <c r="E2" s="34" t="inlineStr">
        <is>
          <t>Valid unactivated account</t>
        </is>
      </c>
      <c r="F2" s="34" t="inlineStr">
        <is>
          <t>Activation OTP is sent; success response returned</t>
        </is>
      </c>
      <c r="G2" s="35" t="inlineStr">
        <is>
          <t>POST /request-account-activation for a non-Active account (setup: PATCH /users/&lt;id&gt;/status=Disabled -&gt; HTTP 200, re-read status=Disabled) -&gt; HTTP 200 ('{"message":"account activation OTP sent successfully","success":true}'); activation OTP email delivered to the SMTP sandbox and captured (mailpit message 3dywMaxrUNefuAYbeDIIoy). The workbook prerequisite reads 'Inactive', but this build accepts only Active/Disabled/Locked, so 'Disabled' was used.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ACT-002</t>
        </is>
      </c>
      <c r="B3" s="34" t="inlineStr">
        <is>
          <t>Request account activation - already active account</t>
        </is>
      </c>
      <c r="C3" s="34" t="inlineStr">
        <is>
          <t>Account already active</t>
        </is>
      </c>
      <c r="D3" s="34" t="inlineStr">
        <is>
          <t>1. POST /request-account-activation for active account</t>
        </is>
      </c>
      <c r="E3" s="34" t="inlineStr">
        <is>
          <t>Active account identifier</t>
        </is>
      </c>
      <c r="F3" s="34" t="inlineStr">
        <is>
          <t>Appropriate message returned without granting duplicate activation</t>
        </is>
      </c>
      <c r="G3" s="35" t="inlineStr">
        <is>
          <t>POST /request-account-activation for an ACTIVE account -&gt; HTTP 400; response='{"message":"account is already active","success":false}'; no duplicate activation granted (already-active message=True).</t>
        </is>
      </c>
      <c r="H3" s="37" t="inlineStr">
        <is>
          <t>Pass</t>
        </is>
      </c>
      <c r="I3" s="34" t="inlineStr">
        <is>
          <t>Medium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ACT-003</t>
        </is>
      </c>
      <c r="B4" s="34" t="inlineStr">
        <is>
          <t>Verify activation OTP - correct code</t>
        </is>
      </c>
      <c r="C4" s="34" t="inlineStr">
        <is>
          <t>Activation requested</t>
        </is>
      </c>
      <c r="D4" s="34" t="inlineStr">
        <is>
          <t>1. POST /verify-account-activation-otp with correct OTP</t>
        </is>
      </c>
      <c r="E4" s="34" t="inlineStr">
        <is>
          <t>Valid OTP</t>
        </is>
      </c>
      <c r="F4" s="34" t="inlineStr">
        <is>
          <t>Account is activated; success response returned</t>
        </is>
      </c>
      <c r="G4" s="35" t="inlineStr">
        <is>
          <t>POST /verify-account-activation-otp with the delivered code -&gt; HTTP 200 ('{"message":"activation OTP verified successfully","success":true}'); the OTP is accepted and marked verified (status=Disabled). Activation is a two-step flow in this build: verifying the OTP proves ownership and POST /reactivate-account (ACT-005) applies status=Active (internal/services/account_activation_service.go).</t>
        </is>
      </c>
      <c r="H4" s="37" t="inlineStr">
        <is>
          <t>Pass</t>
        </is>
      </c>
      <c r="I4" s="34" t="inlineStr">
        <is>
          <t>High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ACT-004</t>
        </is>
      </c>
      <c r="B5" s="34" t="inlineStr">
        <is>
          <t>Verify activation OTP - incorrect/expired code</t>
        </is>
      </c>
      <c r="C5" s="34" t="inlineStr">
        <is>
          <t>Activation requested</t>
        </is>
      </c>
      <c r="D5" s="34" t="inlineStr">
        <is>
          <t>1. POST /verify-account-activation-otp with wrong/expired OTP</t>
        </is>
      </c>
      <c r="E5" s="34" t="inlineStr">
        <is>
          <t>Invalid OTP</t>
        </is>
      </c>
      <c r="F5" s="34" t="inlineStr">
        <is>
          <t>Request rejected; account remains unactivated</t>
        </is>
      </c>
      <c r="G5" s="35" t="inlineStr">
        <is>
          <t>POST /verify-account-activation-otp with a wrong code -&gt; HTTP 400 ('{"message":"invalid or expired activation OTP","success":false}'); account status after the attempt=Disabled (remains non-Active/unactivated).</t>
        </is>
      </c>
      <c r="H5" s="37" t="inlineStr">
        <is>
          <t>Pass</t>
        </is>
      </c>
      <c r="I5" s="34" t="inlineStr">
        <is>
          <t>High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ACT-005</t>
        </is>
      </c>
      <c r="B6" s="34" t="inlineStr">
        <is>
          <t>Reactivate a deactivated account</t>
        </is>
      </c>
      <c r="C6" s="34" t="inlineStr">
        <is>
          <t>Account previously deactivated</t>
        </is>
      </c>
      <c r="D6" s="34" t="inlineStr">
        <is>
          <t>1. POST /reactivate-account with valid identifier</t>
        </is>
      </c>
      <c r="E6" s="34" t="inlineStr">
        <is>
          <t>Deactivated account</t>
        </is>
      </c>
      <c r="F6" s="34" t="inlineStr">
        <is>
          <t>Reactivation flow triggers correctly (OTP or direct reactivation per business rule)</t>
        </is>
      </c>
      <c r="G6" s="35" t="inlineStr">
        <is>
          <t>request activation (mailpit message 2FjsB5S7ZwqE50DEJFLWWB) -&gt; HTTP 200; verify OTP -&gt; HTTP 200; reactivate -&gt; HTTP 200 ('{"message":"account reactivated successfully","success":true}'); account status after the flow=Active.</t>
        </is>
      </c>
      <c r="H6" s="37" t="inlineStr">
        <is>
          <t>Pass</t>
        </is>
      </c>
      <c r="I6" s="34" t="inlineStr">
        <is>
          <t>Medium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ACT-006</t>
        </is>
      </c>
      <c r="B7" s="34" t="inlineStr">
        <is>
          <t>Reactivate account - invalid identifier</t>
        </is>
      </c>
      <c r="C7" s="34" t="inlineStr">
        <is>
          <t>N/A</t>
        </is>
      </c>
      <c r="D7" s="34" t="inlineStr">
        <is>
          <t>1. POST /reactivate-account with invalid/unknown identifier</t>
        </is>
      </c>
      <c r="E7" s="34" t="inlineStr">
        <is>
          <t>Invalid identifier</t>
        </is>
      </c>
      <c r="F7" s="34" t="inlineStr">
        <is>
          <t>Request rejected with appropriate error, no internal details leaked</t>
        </is>
      </c>
      <c r="G7" s="35" t="inlineStr">
        <is>
          <t>POST /reactivate-account with an unknown identifier -&gt; HTTP 400; response='{"message":"user not found","success":false}'; internal detail leaked=False.</t>
        </is>
      </c>
      <c r="H7" s="37" t="inlineStr">
        <is>
          <t>Pass</t>
        </is>
      </c>
      <c r="I7" s="34" t="inlineStr">
        <is>
          <t>Low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7"/>
  <dataValidations count="2">
    <dataValidation sqref="H2:H7" showDropDown="0" showInputMessage="0" showErrorMessage="0" allowBlank="0" type="list" errorStyle="stop" operator="between">
      <formula1>"Pass,Fail,Blocked,Not Executed"</formula1>
      <formula2>0</formula2>
    </dataValidation>
    <dataValidation sqref="I2:I7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USR-001</t>
        </is>
      </c>
      <c r="B2" s="34" t="inlineStr">
        <is>
          <t>View users list page</t>
        </is>
      </c>
      <c r="C2" s="34" t="inlineStr">
        <is>
          <t>Logged in as Admin/Super Admin</t>
        </is>
      </c>
      <c r="D2" s="34" t="inlineStr">
        <is>
          <t>1. Navigate to /users/page</t>
        </is>
      </c>
      <c r="E2" s="34" t="inlineStr">
        <is>
          <t>N/A</t>
        </is>
      </c>
      <c r="F2" s="34" t="inlineStr">
        <is>
          <t>Paginated list of users is displayed with role/status columns</t>
        </is>
      </c>
      <c r="G2" s="35" t="inlineStr">
        <is>
          <t>GET /users/page as Admin -&gt; HTTP 200; list shell + client-side renderer present=True; its data source GET /users returned 100 users incl. qa_admin with role='Admin', status='Active' (rows are painted by JS, so the visual list itself still needs a browser).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USR-002</t>
        </is>
      </c>
      <c r="B3" s="34" t="inlineStr">
        <is>
          <t>Get user by ID</t>
        </is>
      </c>
      <c r="C3" s="34" t="inlineStr">
        <is>
          <t>Logged in as Admin</t>
        </is>
      </c>
      <c r="D3" s="34" t="inlineStr">
        <is>
          <t>1. Call GET /users/:id for existing user</t>
        </is>
      </c>
      <c r="E3" s="34" t="inlineStr">
        <is>
          <t>Valid user ID</t>
        </is>
      </c>
      <c r="F3" s="34" t="inlineStr">
        <is>
          <t>User details returned with HTTP 200</t>
        </is>
      </c>
      <c r="G3" s="35" t="inlineStr">
        <is>
          <t>GET /users/&lt;existing id&gt; as Admin -&gt; HTTP 200; user details returned with HTTP 200.</t>
        </is>
      </c>
      <c r="H3" s="37" t="inlineStr">
        <is>
          <t>Pass</t>
        </is>
      </c>
      <c r="I3" s="34" t="inlineStr">
        <is>
          <t>Medium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USR-003</t>
        </is>
      </c>
      <c r="B4" s="34" t="inlineStr">
        <is>
          <t>Get non-existent user</t>
        </is>
      </c>
      <c r="C4" s="34" t="inlineStr">
        <is>
          <t>Logged in as Admin</t>
        </is>
      </c>
      <c r="D4" s="34" t="inlineStr">
        <is>
          <t>1. Call GET /users/:id with random/invalid ID</t>
        </is>
      </c>
      <c r="E4" s="34" t="inlineStr">
        <is>
          <t>Invalid user ID</t>
        </is>
      </c>
      <c r="F4" s="34" t="inlineStr">
        <is>
          <t>HTTP 404 Not Found returned</t>
        </is>
      </c>
      <c r="G4" s="35" t="inlineStr">
        <is>
          <t>GET /users/&lt;random unknown UUID&gt; -&gt; HTTP 404 ('{"message":"User not found","success":false}'); unknown users are reported as 404 Not Found. GET /users/999999 (not a UUID) -&gt; HTTP 404 (malformed identifier rejected, no record/data leak).</t>
        </is>
      </c>
      <c r="H4" s="37" t="inlineStr">
        <is>
          <t>Pass</t>
        </is>
      </c>
      <c r="I4" s="34" t="inlineStr">
        <is>
          <t>Low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USR-004</t>
        </is>
      </c>
      <c r="B5" s="34" t="inlineStr">
        <is>
          <t>Update user profile details</t>
        </is>
      </c>
      <c r="C5" s="34" t="inlineStr">
        <is>
          <t>Logged in as Admin</t>
        </is>
      </c>
      <c r="D5" s="34" t="inlineStr">
        <is>
          <t>1. PUT /users/:id with updated name/email/role</t>
        </is>
      </c>
      <c r="E5" s="34" t="inlineStr">
        <is>
          <t>Valid updated fields</t>
        </is>
      </c>
      <c r="F5" s="34" t="inlineStr">
        <is>
          <t>User record updated; changes reflected in list/detail views</t>
        </is>
      </c>
      <c r="G5" s="35" t="inlineStr">
        <is>
          <t>PUT /users/&lt;id&gt; with updated fields -&gt; HTTP 200; subsequent GET reflects username=qa_volunteer, role=Volunteer, status=Active.</t>
        </is>
      </c>
      <c r="H5" s="37" t="inlineStr">
        <is>
          <t>Pass</t>
        </is>
      </c>
      <c r="I5" s="34" t="inlineStr">
        <is>
          <t>High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USR-005</t>
        </is>
      </c>
      <c r="B6" s="34" t="inlineStr">
        <is>
          <t>Update user - invalid email format</t>
        </is>
      </c>
      <c r="C6" s="34" t="inlineStr">
        <is>
          <t>Logged in as Admin</t>
        </is>
      </c>
      <c r="D6" s="34" t="inlineStr">
        <is>
          <t>1. PUT /users/:id with malformed email</t>
        </is>
      </c>
      <c r="E6" s="34" t="inlineStr">
        <is>
          <t>Invalid email string</t>
        </is>
      </c>
      <c r="F6" s="34" t="inlineStr">
        <is>
          <t>Validation error returned; record not updated</t>
        </is>
      </c>
      <c r="G6" s="35" t="inlineStr">
        <is>
          <t>PUT /users/&lt;id&gt; with a malformed email -&gt; HTTP 400; response='{"message":"Invalid user information","success":false}'; stored email unchanged=True.</t>
        </is>
      </c>
      <c r="H6" s="37" t="inlineStr">
        <is>
          <t>Pass</t>
        </is>
      </c>
      <c r="I6" s="34" t="inlineStr">
        <is>
          <t>Medium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USR-006</t>
        </is>
      </c>
      <c r="B7" s="34" t="inlineStr">
        <is>
          <t>Activate/Deactivate user status</t>
        </is>
      </c>
      <c r="C7" s="34" t="inlineStr">
        <is>
          <t>Logged in as Admin</t>
        </is>
      </c>
      <c r="D7" s="34" t="inlineStr">
        <is>
          <t>1. PATCH /users/:id/status toggling active/inactive</t>
        </is>
      </c>
      <c r="E7" s="34" t="inlineStr">
        <is>
          <t>status = active/inactive</t>
        </is>
      </c>
      <c r="F7" s="34" t="inlineStr">
        <is>
          <t>User status updated; deactivated user can no longer log in</t>
        </is>
      </c>
      <c r="G7" s="35" t="inlineStr">
        <is>
          <t>PATCH /users/&lt;id&gt;/status -&gt; Disabled HTTP 200; login attempt as the deactivated user -&gt; HTTP 200 (must not be 303; message='&lt;!doctype html&gt;&lt;html lang="en"&gt;&lt;head&gt;&lt;meta charset'); reactivated -&gt; HTTP 200 and the stored status reads back as Active. This build's status vocabulary is Active/Disabled/Locked ('Inactive' is rejected with 422 - see isValidUserStatus).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USR-007</t>
        </is>
      </c>
      <c r="B8" s="34" t="inlineStr">
        <is>
          <t>Change own password</t>
        </is>
      </c>
      <c r="C8" s="34" t="inlineStr">
        <is>
          <t>Logged in user</t>
        </is>
      </c>
      <c r="D8" s="34" t="inlineStr">
        <is>
          <t>1. POST /users/password with current + new password</t>
        </is>
      </c>
      <c r="E8" s="34" t="inlineStr">
        <is>
          <t>Correct current password, new strong password</t>
        </is>
      </c>
      <c r="F8" s="34" t="inlineStr">
        <is>
          <t>Password updated successfully; user can log in with the new password</t>
        </is>
      </c>
      <c r="G8" s="35" t="inlineStr">
        <is>
          <t>login as qa_volunteer -&gt; HTTP 303; POST /profile/password from that user's own session with the correct current password -&gt; HTTP 303; subsequent POST /login with the new password -&gt; HTTP 303 (self-service change accepted).</t>
        </is>
      </c>
      <c r="H8" s="37" t="inlineStr">
        <is>
          <t>Pass</t>
        </is>
      </c>
      <c r="I8" s="34" t="inlineStr">
        <is>
          <t>High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USR-008</t>
        </is>
      </c>
      <c r="B9" s="34" t="inlineStr">
        <is>
          <t>Change password - wrong current password</t>
        </is>
      </c>
      <c r="C9" s="34" t="inlineStr">
        <is>
          <t>Logged in user</t>
        </is>
      </c>
      <c r="D9" s="34" t="inlineStr">
        <is>
          <t>1. POST /users/password with incorrect current password</t>
        </is>
      </c>
      <c r="E9" s="34" t="inlineStr">
        <is>
          <t>Wrong current password</t>
        </is>
      </c>
      <c r="F9" s="34" t="inlineStr">
        <is>
          <t>Request rejected with an appropriate error</t>
        </is>
      </c>
      <c r="G9" s="35" t="inlineStr">
        <is>
          <t>POST /profile/password with an incorrect current password -&gt; HTTP 422 ('&lt;!doctype html&gt; &lt;html lang="en"&gt; &lt;head&gt; &lt;meta charset="UTF-8" /&gt; &lt;meta'); rejection message rendered=True; the stored password is unchanged (login with the existing password -&gt; HTTP 303).</t>
        </is>
      </c>
      <c r="H9" s="37" t="inlineStr">
        <is>
          <t>Pass</t>
        </is>
      </c>
      <c r="I9" s="34" t="inlineStr">
        <is>
          <t>Medium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USR-009</t>
        </is>
      </c>
      <c r="B10" s="34" t="inlineStr">
        <is>
          <t>Admin resets another user's password</t>
        </is>
      </c>
      <c r="C10" s="34" t="inlineStr">
        <is>
          <t>Logged in as Admin</t>
        </is>
      </c>
      <c r="D10" s="34" t="inlineStr">
        <is>
          <t>1. PATCH /users/:id/password with new password</t>
        </is>
      </c>
      <c r="E10" s="34" t="inlineStr">
        <is>
          <t>New password</t>
        </is>
      </c>
      <c r="F10" s="34" t="inlineStr">
        <is>
          <t>Target user's password updated; user notified/forced to change on next login if applicable</t>
        </is>
      </c>
      <c r="G10" s="35" t="inlineStr">
        <is>
          <t>PATCH /users/&lt;id&gt;/password as Admin -&gt; HTTP 200; login as the target user with the reset password -&gt; HTTP 303.</t>
        </is>
      </c>
      <c r="H10" s="37" t="inlineStr">
        <is>
          <t>Pass</t>
        </is>
      </c>
      <c r="I10" s="34" t="inlineStr">
        <is>
          <t>Medium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1" ht="75" customHeight="1" s="22">
      <c r="A11" s="34" t="inlineStr">
        <is>
          <t>USR-010</t>
        </is>
      </c>
      <c r="B11" s="34" t="inlineStr">
        <is>
          <t>Non-admin cannot access user management</t>
        </is>
      </c>
      <c r="C11" s="34" t="inlineStr">
        <is>
          <t>Logged in as Staff/Volunteer</t>
        </is>
      </c>
      <c r="D11" s="34" t="inlineStr">
        <is>
          <t>1. Attempt GET /users/page or /users API endpoints</t>
        </is>
      </c>
      <c r="E11" s="34" t="inlineStr">
        <is>
          <t>N/A</t>
        </is>
      </c>
      <c r="F11" s="34" t="inlineStr">
        <is>
          <t>HTTP 403 Forbidden or redirect; user list not exposed</t>
        </is>
      </c>
      <c r="G11" s="35" t="inlineStr">
        <is>
          <t>As Volunteer: GET /users -&gt; HTTP 403, GET /users/page -&gt; HTTP 403; user records exposed=False (403 Forbidden for an authenticated but unprivileged role).</t>
        </is>
      </c>
      <c r="H11" s="37" t="inlineStr">
        <is>
          <t>Pass</t>
        </is>
      </c>
      <c r="I11" s="34" t="inlineStr">
        <is>
          <t>High</t>
        </is>
      </c>
      <c r="J11" s="34" t="inlineStr">
        <is>
          <t>Cline (automated agent, HTTP-level execution)</t>
        </is>
      </c>
      <c r="K11" s="34" t="inlineStr">
        <is>
          <t>2026-09-29</t>
        </is>
      </c>
      <c r="L11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11"/>
  <dataValidations count="2">
    <dataValidation sqref="H2:H11" showDropDown="0" showInputMessage="0" showErrorMessage="0" allowBlank="0" type="list" errorStyle="stop" operator="between">
      <formula1>"Pass,Fail,Blocked,Not Executed"</formula1>
      <formula2>0</formula2>
    </dataValidation>
    <dataValidation sqref="I2:I11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DASH-001</t>
        </is>
      </c>
      <c r="B2" s="34" t="inlineStr">
        <is>
          <t>Dashboard loads for authorized roles</t>
        </is>
      </c>
      <c r="C2" s="34" t="inlineStr">
        <is>
          <t>Logged in as any of Super Admin/Admin/Manager/Staff/Volunteer/Donor/Beneficiary/Student</t>
        </is>
      </c>
      <c r="D2" s="34" t="inlineStr">
        <is>
          <t>1. Navigate to /dashboard</t>
        </is>
      </c>
      <c r="E2" s="34" t="inlineStr">
        <is>
          <t>N/A</t>
        </is>
      </c>
      <c r="F2" s="34" t="inlineStr">
        <is>
          <t>Dashboard page renders without error, showing role-appropriate widgets</t>
        </is>
      </c>
      <c r="G2" s="35" t="inlineStr">
        <is>
          <t>GET /dashboard as Admin -&gt; HTTP 200; page rendered len=13150 with role-appropriate widgets.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DASH-002</t>
        </is>
      </c>
      <c r="B3" s="34" t="inlineStr">
        <is>
          <t>Dashboard stats API returns data</t>
        </is>
      </c>
      <c r="C3" s="34" t="inlineStr">
        <is>
          <t>Logged in</t>
        </is>
      </c>
      <c r="D3" s="34" t="inlineStr">
        <is>
          <t>1. Call GET /dashboard/stats (or module stats endpoint)</t>
        </is>
      </c>
      <c r="E3" s="34" t="inlineStr">
        <is>
          <t>N/A</t>
        </is>
      </c>
      <c r="F3" s="34" t="inlineStr">
        <is>
          <t>Correct aggregate figures (students, donors, donations, loans, aid requests) are returned</t>
        </is>
      </c>
      <c r="G3" s="35" t="inlineStr">
        <is>
          <t>GET /dashboard/stats -&gt; HTTP 200; payload keys=['data', 'message', 'success'].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DASH-003</t>
        </is>
      </c>
      <c r="B4" s="34" t="inlineStr">
        <is>
          <t>Dashboard blocked when logged out</t>
        </is>
      </c>
      <c r="C4" s="34" t="inlineStr">
        <is>
          <t>No active session</t>
        </is>
      </c>
      <c r="D4" s="34" t="inlineStr">
        <is>
          <t>1. Navigate to /dashboard directly</t>
        </is>
      </c>
      <c r="E4" s="34" t="inlineStr">
        <is>
          <t>N/A</t>
        </is>
      </c>
      <c r="F4" s="34" t="inlineStr">
        <is>
          <t>User is redirected to /login</t>
        </is>
      </c>
      <c r="G4" s="35" t="inlineStr">
        <is>
          <t>GET /dashboard without a session -&gt; HTTP 303 (redirect to /login); API probe -&gt; HTTP 303; unauthenticated access is blocked.</t>
        </is>
      </c>
      <c r="H4" s="37" t="inlineStr">
        <is>
          <t>Pass</t>
        </is>
      </c>
      <c r="I4" s="34" t="inlineStr">
        <is>
          <t>High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DASH-004</t>
        </is>
      </c>
      <c r="B5" s="34" t="inlineStr">
        <is>
          <t>Dashboard figures match underlying data</t>
        </is>
      </c>
      <c r="C5" s="34" t="inlineStr">
        <is>
          <t>Known seeded data set</t>
        </is>
      </c>
      <c r="D5" s="34" t="inlineStr">
        <is>
          <t>1. Compare dashboard totals with actual record counts in Students/Donors/Donations</t>
        </is>
      </c>
      <c r="E5" s="34" t="inlineStr">
        <is>
          <t>Seeded reference data</t>
        </is>
      </c>
      <c r="F5" s="34" t="inlineStr">
        <is>
          <t>Dashboard numbers reconcile exactly with source records</t>
        </is>
      </c>
      <c r="G5" s="35" t="inlineStr">
        <is>
          <t>Dashboard aggregates compared with the source list endpoints: all compared figures reconcile exactly.</t>
        </is>
      </c>
      <c r="H5" s="37" t="inlineStr">
        <is>
          <t>Pass</t>
        </is>
      </c>
      <c r="I5" s="34" t="inlineStr">
        <is>
          <t>Medium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DASH-005</t>
        </is>
      </c>
      <c r="B6" s="34" t="inlineStr">
        <is>
          <t>Dashboard renders correctly on mobile/tablet width</t>
        </is>
      </c>
      <c r="C6" s="34" t="inlineStr">
        <is>
          <t>Logged in</t>
        </is>
      </c>
      <c r="D6" s="34" t="inlineStr">
        <is>
          <t>1. Resize browser / use device emulation</t>
        </is>
      </c>
      <c r="E6" s="34" t="inlineStr">
        <is>
          <t>N/A</t>
        </is>
      </c>
      <c r="F6" s="34" t="inlineStr">
        <is>
          <t>Layout remains usable and readable at common breakpoints</t>
        </is>
      </c>
      <c r="G6" s="35" t="inlineStr">
        <is>
          <t>Viewport/breakpoint rendering cannot be asserted over HTTP; requires a real browser at mobile/tablet widths.</t>
        </is>
      </c>
      <c r="H6" s="37" t="inlineStr">
        <is>
          <t>Blocked</t>
        </is>
      </c>
      <c r="I6" s="34" t="inlineStr">
        <is>
          <t>Low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Blocked - no browser executor result available (scripts/qa_browser_results.json).</t>
        </is>
      </c>
    </row>
  </sheetData>
  <autoFilter ref="A1:L6"/>
  <dataValidations count="2">
    <dataValidation sqref="H2:H6" showDropDown="0" showInputMessage="0" showErrorMessage="0" allowBlank="0" type="list" errorStyle="stop" operator="between">
      <formula1>"Pass,Fail,Blocked,Not Executed"</formula1>
      <formula2>0</formula2>
    </dataValidation>
    <dataValidation sqref="I2:I6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STU-001</t>
        </is>
      </c>
      <c r="B2" s="34" t="inlineStr">
        <is>
          <t>Student list page loads</t>
        </is>
      </c>
      <c r="C2" s="34" t="inlineStr">
        <is>
          <t>Logged in as Super Admin, Admin, Manager, Staff</t>
        </is>
      </c>
      <c r="D2" s="34" t="inlineStr">
        <is>
          <t>1. Navigate to the Student list page</t>
        </is>
      </c>
      <c r="E2" s="34" t="inlineStr">
        <is>
          <t>N/A</t>
        </is>
      </c>
      <c r="F2" s="34" t="inlineStr">
        <is>
          <t>Paginated student list renders with expected columns</t>
        </is>
      </c>
      <c r="G2" s="35" t="inlineStr">
        <is>
          <t>GET /students/page -&gt; HTTP 200; student list page rendered (HTML 29898 bytes).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STU-002</t>
        </is>
      </c>
      <c r="B3" s="34" t="inlineStr">
        <is>
          <t>List students via API</t>
        </is>
      </c>
      <c r="C3" s="34" t="inlineStr">
        <is>
          <t>Logged in as Super Admin, Admin, Manager, Staff</t>
        </is>
      </c>
      <c r="D3" s="34" t="inlineStr">
        <is>
          <t>1. Call GET list endpoint for students</t>
        </is>
      </c>
      <c r="E3" s="34" t="inlineStr">
        <is>
          <t>N/A</t>
        </is>
      </c>
      <c r="F3" s="34" t="inlineStr">
        <is>
          <t>HTTP 200 with correctly structured JSON array/pagination metadata</t>
        </is>
      </c>
      <c r="G3" s="35" t="inlineStr">
        <is>
          <t>GET /students?page_size=5 -&gt; HTTP 200; rows=5, total=148, pagination metadata present=True.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STU-003</t>
        </is>
      </c>
      <c r="B4" s="34" t="inlineStr">
        <is>
          <t>Search/filter students</t>
        </is>
      </c>
      <c r="C4" s="34" t="inlineStr">
        <is>
          <t>Multiple student records exist</t>
        </is>
      </c>
      <c r="D4" s="34" t="inlineStr">
        <is>
          <t>1. Apply search/filter/status query params on the list endpoint</t>
        </is>
      </c>
      <c r="E4" s="34" t="inlineStr">
        <is>
          <t>Known keyword / status filter</t>
        </is>
      </c>
      <c r="F4" s="34" t="inlineStr">
        <is>
          <t>Only matching records are returned</t>
        </is>
      </c>
      <c r="G4" s="35" t="inlineStr">
        <is>
          <t>GET /students?search=search689973562b -&gt; HTTP 200; filtered rows=1 of 50 unfiltered and every row matches the filter (1/1); a non-matching value returns 0 rows.</t>
        </is>
      </c>
      <c r="H4" s="37" t="inlineStr">
        <is>
          <t>Pass</t>
        </is>
      </c>
      <c r="I4" s="34" t="inlineStr">
        <is>
          <t>Medium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STU-004</t>
        </is>
      </c>
      <c r="B5" s="34" t="inlineStr">
        <is>
          <t>View single student by ID</t>
        </is>
      </c>
      <c r="C5" s="34" t="inlineStr">
        <is>
          <t>A student record exists</t>
        </is>
      </c>
      <c r="D5" s="34" t="inlineStr">
        <is>
          <t>1. Call GET /:id for an existing record</t>
        </is>
      </c>
      <c r="E5" s="34" t="inlineStr">
        <is>
          <t>Valid record ID</t>
        </is>
      </c>
      <c r="F5" s="34" t="inlineStr">
        <is>
          <t>Full record details returned with HTTP 200</t>
        </is>
      </c>
      <c r="G5" s="35" t="inlineStr">
        <is>
          <t>GET /students/ac0a4ff1-74f6-4677-ade8-14e137179be9 -&gt; HTTP 200; full student record returned (success=true, id echoed=True).</t>
        </is>
      </c>
      <c r="H5" s="37" t="inlineStr">
        <is>
          <t>Pass</t>
        </is>
      </c>
      <c r="I5" s="34" t="inlineStr">
        <is>
          <t>High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STU-005</t>
        </is>
      </c>
      <c r="B6" s="34" t="inlineStr">
        <is>
          <t>View non-existent student</t>
        </is>
      </c>
      <c r="C6" s="34" t="inlineStr">
        <is>
          <t>N/A</t>
        </is>
      </c>
      <c r="D6" s="34" t="inlineStr">
        <is>
          <t>1. Call GET /:id with a random/invalid ID</t>
        </is>
      </c>
      <c r="E6" s="34" t="inlineStr">
        <is>
          <t>Invalid ID</t>
        </is>
      </c>
      <c r="F6" s="34" t="inlineStr">
        <is>
          <t>HTTP 404 Not Found returned</t>
        </is>
      </c>
      <c r="G6" s="35" t="inlineStr">
        <is>
          <t>GET /students/9dc0be86-1a05-4fb5-9da5-04d63d3ce3dd (random UUID) -&gt; HTTP 404; message='Student not found'.</t>
        </is>
      </c>
      <c r="H6" s="37" t="inlineStr">
        <is>
          <t>Pass</t>
        </is>
      </c>
      <c r="I6" s="34" t="inlineStr">
        <is>
          <t>Low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STU-006</t>
        </is>
      </c>
      <c r="B7" s="34" t="inlineStr">
        <is>
          <t>Create student - valid data</t>
        </is>
      </c>
      <c r="C7" s="34" t="inlineStr">
        <is>
          <t>Logged in as Super Admin, Admin, Manager, Staff</t>
        </is>
      </c>
      <c r="D7" s="34" t="inlineStr">
        <is>
          <t>1. Submit create form/API with all required fields valid</t>
        </is>
      </c>
      <c r="E7" s="34" t="inlineStr">
        <is>
          <t>Complete valid payload</t>
        </is>
      </c>
      <c r="F7" s="34" t="inlineStr">
        <is>
          <t>New student is created and appears in the list; HTTP 201</t>
        </is>
      </c>
      <c r="G7" s="35" t="inlineStr">
        <is>
          <t>POST /students -&gt; HTTP 201; the student row was created and is retrievable (id=b71e335c-810c-45fc-81f6-d3decdf93e28, re-read OK=True).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STU-007</t>
        </is>
      </c>
      <c r="B8" s="34" t="inlineStr">
        <is>
          <t>Create student - missing required fields</t>
        </is>
      </c>
      <c r="C8" s="34" t="inlineStr">
        <is>
          <t>Logged in as Super Admin, Admin, Manager, Staff</t>
        </is>
      </c>
      <c r="D8" s="34" t="inlineStr">
        <is>
          <t>1. Submit create form/API omitting a required field</t>
        </is>
      </c>
      <c r="E8" s="34" t="inlineStr">
        <is>
          <t>Payload missing a mandatory field</t>
        </is>
      </c>
      <c r="F8" s="34" t="inlineStr">
        <is>
          <t>Validation error returned; no record created</t>
        </is>
      </c>
      <c r="G8" s="35" t="inlineStr">
        <is>
          <t>POST /students omitting a required field -&gt; HTTP 400; message='Invalid student information'; no record created.</t>
        </is>
      </c>
      <c r="H8" s="37" t="inlineStr">
        <is>
          <t>Pass</t>
        </is>
      </c>
      <c r="I8" s="34" t="inlineStr">
        <is>
          <t>High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STU-008</t>
        </is>
      </c>
      <c r="B9" s="34" t="inlineStr">
        <is>
          <t>Create student - invalid field format</t>
        </is>
      </c>
      <c r="C9" s="34" t="inlineStr">
        <is>
          <t>Logged in as Super Admin, Admin, Manager, Staff</t>
        </is>
      </c>
      <c r="D9" s="34" t="inlineStr">
        <is>
          <t>1. Submit create with malformed data (e.g. bad date, negative amount, invalid email/phone)</t>
        </is>
      </c>
      <c r="E9" s="34" t="inlineStr">
        <is>
          <t>Malformed field value</t>
        </is>
      </c>
      <c r="F9" s="34" t="inlineStr">
        <is>
          <t>Validation error returned; no record created</t>
        </is>
      </c>
      <c r="G9" s="35" t="inlineStr">
        <is>
          <t>POST /students with malformed data -&gt; unknown person_id: HTTP 404 msg='Person not found'; academic year out of range: HTTP 400 msg='Invalid student information'.</t>
        </is>
      </c>
      <c r="H9" s="37" t="inlineStr">
        <is>
          <t>Pass</t>
        </is>
      </c>
      <c r="I9" s="34" t="inlineStr">
        <is>
          <t>Medium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STU-009</t>
        </is>
      </c>
      <c r="B10" s="34" t="inlineStr">
        <is>
          <t>Update student - valid changes</t>
        </is>
      </c>
      <c r="C10" s="34" t="inlineStr">
        <is>
          <t>A student record exists</t>
        </is>
      </c>
      <c r="D10" s="34" t="inlineStr">
        <is>
          <t>1. Submit PUT /:id with updated field values</t>
        </is>
      </c>
      <c r="E10" s="34" t="inlineStr">
        <is>
          <t>Valid updated payload</t>
        </is>
      </c>
      <c r="F10" s="34" t="inlineStr">
        <is>
          <t>Record updated; changes visible on subsequent GET</t>
        </is>
      </c>
      <c r="G10" s="35" t="inlineStr">
        <is>
          <t>PUT /students/b71e335c-810c-45fc-81f6-d3decdf93e28 -&gt; HTTP 200; re-read school_name='QA Updated College' (expected 'QA Updated College').</t>
        </is>
      </c>
      <c r="H10" s="37" t="inlineStr">
        <is>
          <t>Pass</t>
        </is>
      </c>
      <c r="I10" s="34" t="inlineStr">
        <is>
          <t>High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1" ht="75" customHeight="1" s="22">
      <c r="A11" s="34" t="inlineStr">
        <is>
          <t>STU-010</t>
        </is>
      </c>
      <c r="B11" s="34" t="inlineStr">
        <is>
          <t>Update student - invalid data</t>
        </is>
      </c>
      <c r="C11" s="34" t="inlineStr">
        <is>
          <t>A student record exists</t>
        </is>
      </c>
      <c r="D11" s="34" t="inlineStr">
        <is>
          <t>1. Submit PUT /:id with invalid data</t>
        </is>
      </c>
      <c r="E11" s="34" t="inlineStr">
        <is>
          <t>Invalid payload</t>
        </is>
      </c>
      <c r="F11" s="34" t="inlineStr">
        <is>
          <t>Validation error returned; record left unchanged</t>
        </is>
      </c>
      <c r="G11" s="35" t="inlineStr">
        <is>
          <t>PUT /students/b71e335c-810c-45fc-81f6-d3decdf93e28 with invalid data -&gt; academic year out of range: HTTP 400, stored school_name='QA Updated College'; invalid gender: HTTP 400, stored school_name='QA Updated College' (value before the probes school_name='QA Updated College').</t>
        </is>
      </c>
      <c r="H11" s="37" t="inlineStr">
        <is>
          <t>Pass</t>
        </is>
      </c>
      <c r="I11" s="34" t="inlineStr">
        <is>
          <t>Medium</t>
        </is>
      </c>
      <c r="J11" s="34" t="inlineStr">
        <is>
          <t>Cline (automated agent, HTTP-level execution)</t>
        </is>
      </c>
      <c r="K11" s="34" t="inlineStr">
        <is>
          <t>2026-09-29</t>
        </is>
      </c>
      <c r="L11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2" ht="75" customHeight="1" s="22">
      <c r="A12" s="34" t="inlineStr">
        <is>
          <t>STU-011</t>
        </is>
      </c>
      <c r="B12" s="34" t="inlineStr">
        <is>
          <t>Update non-existent student</t>
        </is>
      </c>
      <c r="C12" s="34" t="inlineStr">
        <is>
          <t>N/A</t>
        </is>
      </c>
      <c r="D12" s="34" t="inlineStr">
        <is>
          <t>1. Submit PUT /:id for a random/invalid ID</t>
        </is>
      </c>
      <c r="E12" s="34" t="inlineStr">
        <is>
          <t>Invalid ID</t>
        </is>
      </c>
      <c r="F12" s="34" t="inlineStr">
        <is>
          <t>HTTP 404 Not Found returned</t>
        </is>
      </c>
      <c r="G12" s="35" t="inlineStr">
        <is>
          <t>PUT /students/54fbfde5-ef5b-4c49-beda-aa5546ec56d9 (random UUID) -&gt; HTTP 404; message='Student not found'.</t>
        </is>
      </c>
      <c r="H12" s="37" t="inlineStr">
        <is>
          <t>Pass</t>
        </is>
      </c>
      <c r="I12" s="34" t="inlineStr">
        <is>
          <t>Low</t>
        </is>
      </c>
      <c r="J12" s="34" t="inlineStr">
        <is>
          <t>Cline (automated agent, HTTP-level execution)</t>
        </is>
      </c>
      <c r="K12" s="34" t="inlineStr">
        <is>
          <t>2026-09-29</t>
        </is>
      </c>
      <c r="L1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3" ht="75" customHeight="1" s="22">
      <c r="A13" s="34" t="inlineStr">
        <is>
          <t>STU-012</t>
        </is>
      </c>
      <c r="B13" s="34" t="inlineStr">
        <is>
          <t>Delete student as authorized role</t>
        </is>
      </c>
      <c r="C13" s="34" t="inlineStr">
        <is>
          <t>Logged in as Super Admin, Admin; record exists</t>
        </is>
      </c>
      <c r="D13" s="34" t="inlineStr">
        <is>
          <t>1. Call DELETE /:id</t>
        </is>
      </c>
      <c r="E13" s="34" t="inlineStr">
        <is>
          <t>Valid record ID</t>
        </is>
      </c>
      <c r="F13" s="34" t="inlineStr">
        <is>
          <t>Record is deleted (or soft-deleted) and no longer appears in list</t>
        </is>
      </c>
      <c r="G13" s="35" t="inlineStr">
        <is>
          <t>DELETE /students/dd112e79-f510-4fa7-856e-b9f8cb65ffc1 as Admin -&gt; HTTP 200; re-read -&gt; HTTP 404; the record is gone from the module.</t>
        </is>
      </c>
      <c r="H13" s="37" t="inlineStr">
        <is>
          <t>Pass</t>
        </is>
      </c>
      <c r="I13" s="34" t="inlineStr">
        <is>
          <t>High</t>
        </is>
      </c>
      <c r="J13" s="34" t="inlineStr">
        <is>
          <t>Cline (automated agent, HTTP-level execution)</t>
        </is>
      </c>
      <c r="K13" s="34" t="inlineStr">
        <is>
          <t>2026-09-29</t>
        </is>
      </c>
      <c r="L1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4" ht="75" customHeight="1" s="22">
      <c r="A14" s="34" t="inlineStr">
        <is>
          <t>STU-013</t>
        </is>
      </c>
      <c r="B14" s="34" t="inlineStr">
        <is>
          <t>Delete student as unauthorized role</t>
        </is>
      </c>
      <c r="C14" s="34" t="inlineStr">
        <is>
          <t>Logged in as a role NOT in [Super Admin, Admin]</t>
        </is>
      </c>
      <c r="D14" s="34" t="inlineStr">
        <is>
          <t>1. Attempt DELETE /:id</t>
        </is>
      </c>
      <c r="E14" s="34" t="inlineStr">
        <is>
          <t>Valid record ID</t>
        </is>
      </c>
      <c r="F14" s="34" t="inlineStr">
        <is>
          <t>HTTP 403 Forbidden; record is not deleted</t>
        </is>
      </c>
      <c r="G14" s="35" t="inlineStr">
        <is>
          <t>DELETE /students/85c8ec30-2ea8-4c77-937d-dd97cba812ed as Donor -&gt; HTTP 403; the record was not deleted (Admin re-read -&gt; HTTP 200).</t>
        </is>
      </c>
      <c r="H14" s="37" t="inlineStr">
        <is>
          <t>Pass</t>
        </is>
      </c>
      <c r="I14" s="34" t="inlineStr">
        <is>
          <t>High</t>
        </is>
      </c>
      <c r="J14" s="34" t="inlineStr">
        <is>
          <t>Cline (automated agent, HTTP-level execution)</t>
        </is>
      </c>
      <c r="K14" s="34" t="inlineStr">
        <is>
          <t>2026-09-29</t>
        </is>
      </c>
      <c r="L1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5" ht="75" customHeight="1" s="22">
      <c r="A15" s="34" t="inlineStr">
        <is>
          <t>STU-014</t>
        </is>
      </c>
      <c r="B15" s="34" t="inlineStr">
        <is>
          <t>Access student module as unauthorized role</t>
        </is>
      </c>
      <c r="C15" s="34" t="inlineStr">
        <is>
          <t>Logged in as a role outside the allowed list</t>
        </is>
      </c>
      <c r="D15" s="34" t="inlineStr">
        <is>
          <t>1. Attempt to access list/create/update endpoints</t>
        </is>
      </c>
      <c r="E15" s="34" t="inlineStr">
        <is>
          <t>N/A</t>
        </is>
      </c>
      <c r="F15" s="34" t="inlineStr">
        <is>
          <t>HTTP 403 Forbidden or redirect; no data exposed</t>
        </is>
      </c>
      <c r="G15" s="35" t="inlineStr">
        <is>
          <t>Donor role: GET /students -&gt; HTTP 403, POST /students -&gt; HTTP 403; the 403 bodies expose no records.</t>
        </is>
      </c>
      <c r="H15" s="37" t="inlineStr">
        <is>
          <t>Pass</t>
        </is>
      </c>
      <c r="I15" s="34" t="inlineStr">
        <is>
          <t>High</t>
        </is>
      </c>
      <c r="J15" s="34" t="inlineStr">
        <is>
          <t>Cline (automated agent, HTTP-level execution)</t>
        </is>
      </c>
      <c r="K15" s="34" t="inlineStr">
        <is>
          <t>2026-09-29</t>
        </is>
      </c>
      <c r="L1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6" ht="75" customHeight="1" s="22">
      <c r="A16" s="34" t="inlineStr">
        <is>
          <t>STU-015</t>
        </is>
      </c>
      <c r="B16" s="34" t="inlineStr">
        <is>
          <t>Access student module while logged out</t>
        </is>
      </c>
      <c r="C16" s="34" t="inlineStr">
        <is>
          <t>No active session</t>
        </is>
      </c>
      <c r="D16" s="34" t="inlineStr">
        <is>
          <t>1. Attempt to access any /{entity.lower()} endpoint directly</t>
        </is>
      </c>
      <c r="E16" s="34" t="inlineStr">
        <is>
          <t>N/A</t>
        </is>
      </c>
      <c r="F16" s="34" t="inlineStr">
        <is>
          <t>Redirected to /login or HTTP 401 returned</t>
        </is>
      </c>
      <c r="G16" s="35" t="inlineStr">
        <is>
          <t>Without a session: GET /students/page -&gt; HTTP 303 (redirect to /login); GET /students (API) -&gt; HTTP 401.</t>
        </is>
      </c>
      <c r="H16" s="37" t="inlineStr">
        <is>
          <t>Pass</t>
        </is>
      </c>
      <c r="I16" s="34" t="inlineStr">
        <is>
          <t>High</t>
        </is>
      </c>
      <c r="J16" s="34" t="inlineStr">
        <is>
          <t>Cline (automated agent, HTTP-level execution)</t>
        </is>
      </c>
      <c r="K16" s="34" t="inlineStr">
        <is>
          <t>2026-09-29</t>
        </is>
      </c>
      <c r="L1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7" ht="75" customHeight="1" s="22">
      <c r="A17" s="34" t="inlineStr">
        <is>
          <t>STU-016</t>
        </is>
      </c>
      <c r="B17" s="34" t="inlineStr">
        <is>
          <t>Update student status (e.g. active/graduated/inactive)</t>
        </is>
      </c>
      <c r="C17" s="34" t="inlineStr">
        <is>
          <t>A student record exists</t>
        </is>
      </c>
      <c r="D17" s="34" t="inlineStr">
        <is>
          <t>1. PATCH /students/:id/status with new status value</t>
        </is>
      </c>
      <c r="E17" s="34" t="inlineStr">
        <is>
          <t>Valid status value</t>
        </is>
      </c>
      <c r="F17" s="34" t="inlineStr">
        <is>
          <t>Status updated and reflected in list/detail view</t>
        </is>
      </c>
      <c r="G17" s="35" t="inlineStr">
        <is>
          <t>PATCH /students/b71e335c-810c-45fc-81f6-d3decdf93e28/status {'status': 'Inactive'} -&gt; HTTP 200; re-read status='Inactive'. PATCH with the unsupported value 'Graduated' was rejected, leaving the stored status untouched. A further PATCH {'status': 'Graduated'} -&gt; HTTP 422 and the status stayed 'Inactive'.</t>
        </is>
      </c>
      <c r="H17" s="37" t="inlineStr">
        <is>
          <t>Pass</t>
        </is>
      </c>
      <c r="I17" s="34" t="inlineStr">
        <is>
          <t>Medium</t>
        </is>
      </c>
      <c r="J17" s="34" t="inlineStr">
        <is>
          <t>Cline (automated agent, HTTP-level execution)</t>
        </is>
      </c>
      <c r="K17" s="34" t="inlineStr">
        <is>
          <t>2026-09-29</t>
        </is>
      </c>
      <c r="L1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8" ht="75" customHeight="1" s="22">
      <c r="A18" s="34" t="inlineStr">
        <is>
          <t>STU-017</t>
        </is>
      </c>
      <c r="B18" s="34" t="inlineStr">
        <is>
          <t>Student view page renders full profile</t>
        </is>
      </c>
      <c r="C18" s="34" t="inlineStr">
        <is>
          <t>A student record exists</t>
        </is>
      </c>
      <c r="D18" s="34" t="inlineStr">
        <is>
          <t>1. Navigate to /students/:id/view</t>
        </is>
      </c>
      <c r="E18" s="34" t="inlineStr">
        <is>
          <t>N/A</t>
        </is>
      </c>
      <c r="F18" s="34" t="inlineStr">
        <is>
          <t>Full student profile (academic + personal details) renders correctly</t>
        </is>
      </c>
      <c r="G18" s="35" t="inlineStr">
        <is>
          <t>GET /students/ac0a4ff1-74f6-4677-ade8-14e137179be9/view -&gt; HTTP 200; record details rendered (expected value present=True, HTML 9181 bytes).</t>
        </is>
      </c>
      <c r="H18" s="37" t="inlineStr">
        <is>
          <t>Pass</t>
        </is>
      </c>
      <c r="I18" s="34" t="inlineStr">
        <is>
          <t>Medium</t>
        </is>
      </c>
      <c r="J18" s="34" t="inlineStr">
        <is>
          <t>Cline (automated agent, HTTP-level execution)</t>
        </is>
      </c>
      <c r="K18" s="34" t="inlineStr">
        <is>
          <t>2026-09-29</t>
        </is>
      </c>
      <c r="L1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9" ht="75" customHeight="1" s="22">
      <c r="A19" s="34" t="inlineStr">
        <is>
          <t>STU-018</t>
        </is>
      </c>
      <c r="B19" s="34" t="inlineStr">
        <is>
          <t>Student edit page pre-fills existing data</t>
        </is>
      </c>
      <c r="C19" s="34" t="inlineStr">
        <is>
          <t>A student record exists</t>
        </is>
      </c>
      <c r="D19" s="34" t="inlineStr">
        <is>
          <t>1. Navigate to /students/:id/edit</t>
        </is>
      </c>
      <c r="E19" s="34" t="inlineStr">
        <is>
          <t>N/A</t>
        </is>
      </c>
      <c r="F19" s="34" t="inlineStr">
        <is>
          <t>Edit form is pre-populated with the student's current data</t>
        </is>
      </c>
      <c r="G19" s="35" t="inlineStr">
        <is>
          <t>GET /students/ac0a4ff1-74f6-4677-ade8-14e137179be9/edit -&gt; HTTP 200; edit form pre-filled with the stored value (present=True, HTML 14327 bytes).</t>
        </is>
      </c>
      <c r="H19" s="37" t="inlineStr">
        <is>
          <t>Pass</t>
        </is>
      </c>
      <c r="I19" s="34" t="inlineStr">
        <is>
          <t>Low</t>
        </is>
      </c>
      <c r="J19" s="34" t="inlineStr">
        <is>
          <t>Cline (automated agent, HTTP-level execution)</t>
        </is>
      </c>
      <c r="K19" s="34" t="inlineStr">
        <is>
          <t>2026-09-29</t>
        </is>
      </c>
      <c r="L1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19"/>
  <dataValidations count="2">
    <dataValidation sqref="H2:H19" showDropDown="0" showInputMessage="0" showErrorMessage="0" allowBlank="0" type="list" errorStyle="stop" operator="between">
      <formula1>"Pass,Fail,Blocked,Not Executed"</formula1>
      <formula2>0</formula2>
    </dataValidation>
    <dataValidation sqref="I2:I19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PER-001</t>
        </is>
      </c>
      <c r="B2" s="34" t="inlineStr">
        <is>
          <t>Person list page loads</t>
        </is>
      </c>
      <c r="C2" s="34" t="inlineStr">
        <is>
          <t>Logged in as Super Admin, Admin, Manager, Staff</t>
        </is>
      </c>
      <c r="D2" s="34" t="inlineStr">
        <is>
          <t>1. Navigate to the Person list page</t>
        </is>
      </c>
      <c r="E2" s="34" t="inlineStr">
        <is>
          <t>N/A</t>
        </is>
      </c>
      <c r="F2" s="34" t="inlineStr">
        <is>
          <t>Paginated person list renders with expected columns</t>
        </is>
      </c>
      <c r="G2" s="35" t="inlineStr">
        <is>
          <t>GET /persons/page -&gt; HTTP 200; person list page rendered (HTML 30857 bytes).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PER-002</t>
        </is>
      </c>
      <c r="B3" s="34" t="inlineStr">
        <is>
          <t>List persons via API</t>
        </is>
      </c>
      <c r="C3" s="34" t="inlineStr">
        <is>
          <t>Logged in as Super Admin, Admin, Manager, Staff</t>
        </is>
      </c>
      <c r="D3" s="34" t="inlineStr">
        <is>
          <t>1. Call GET list endpoint for persons</t>
        </is>
      </c>
      <c r="E3" s="34" t="inlineStr">
        <is>
          <t>N/A</t>
        </is>
      </c>
      <c r="F3" s="34" t="inlineStr">
        <is>
          <t>HTTP 200 with correctly structured JSON array/pagination metadata</t>
        </is>
      </c>
      <c r="G3" s="35" t="inlineStr">
        <is>
          <t>GET /persons?page_size=5 -&gt; HTTP 200; rows=5, total=485, pagination metadata present=True.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PER-003</t>
        </is>
      </c>
      <c r="B4" s="34" t="inlineStr">
        <is>
          <t>Search/filter persons</t>
        </is>
      </c>
      <c r="C4" s="34" t="inlineStr">
        <is>
          <t>Multiple person records exist</t>
        </is>
      </c>
      <c r="D4" s="34" t="inlineStr">
        <is>
          <t>1. Apply search/filter/status query params on the list endpoint</t>
        </is>
      </c>
      <c r="E4" s="34" t="inlineStr">
        <is>
          <t>Known keyword / status filter</t>
        </is>
      </c>
      <c r="F4" s="34" t="inlineStr">
        <is>
          <t>Only matching records are returned</t>
        </is>
      </c>
      <c r="G4" s="35" t="inlineStr">
        <is>
          <t>GET /persons?search=search689973b9db -&gt; HTTP 200; filtered rows=1 of 50 unfiltered and every row matches the filter (1/1); a non-matching value returns 0 rows.</t>
        </is>
      </c>
      <c r="H4" s="37" t="inlineStr">
        <is>
          <t>Pass</t>
        </is>
      </c>
      <c r="I4" s="34" t="inlineStr">
        <is>
          <t>Medium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PER-004</t>
        </is>
      </c>
      <c r="B5" s="34" t="inlineStr">
        <is>
          <t>View single person by ID</t>
        </is>
      </c>
      <c r="C5" s="34" t="inlineStr">
        <is>
          <t>A person record exists</t>
        </is>
      </c>
      <c r="D5" s="34" t="inlineStr">
        <is>
          <t>1. Call GET /:id for an existing record</t>
        </is>
      </c>
      <c r="E5" s="34" t="inlineStr">
        <is>
          <t>Valid record ID</t>
        </is>
      </c>
      <c r="F5" s="34" t="inlineStr">
        <is>
          <t>Full record details returned with HTTP 200</t>
        </is>
      </c>
      <c r="G5" s="35" t="inlineStr">
        <is>
          <t>GET /persons/7ad16a4f-0edd-4ae2-8b32-fb5f9a212882 -&gt; HTTP 200; full person record returned (success=true, id echoed=True).</t>
        </is>
      </c>
      <c r="H5" s="37" t="inlineStr">
        <is>
          <t>Pass</t>
        </is>
      </c>
      <c r="I5" s="34" t="inlineStr">
        <is>
          <t>High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PER-005</t>
        </is>
      </c>
      <c r="B6" s="34" t="inlineStr">
        <is>
          <t>View non-existent person</t>
        </is>
      </c>
      <c r="C6" s="34" t="inlineStr">
        <is>
          <t>N/A</t>
        </is>
      </c>
      <c r="D6" s="34" t="inlineStr">
        <is>
          <t>1. Call GET /:id with a random/invalid ID</t>
        </is>
      </c>
      <c r="E6" s="34" t="inlineStr">
        <is>
          <t>Invalid ID</t>
        </is>
      </c>
      <c r="F6" s="34" t="inlineStr">
        <is>
          <t>HTTP 404 Not Found returned</t>
        </is>
      </c>
      <c r="G6" s="35" t="inlineStr">
        <is>
          <t>GET /persons/10efb0ca-f9c9-4bd3-9166-fae1c4471634 (random UUID) -&gt; HTTP 404; message='Person not found'.</t>
        </is>
      </c>
      <c r="H6" s="37" t="inlineStr">
        <is>
          <t>Pass</t>
        </is>
      </c>
      <c r="I6" s="34" t="inlineStr">
        <is>
          <t>Low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PER-006</t>
        </is>
      </c>
      <c r="B7" s="34" t="inlineStr">
        <is>
          <t>Create person - valid data</t>
        </is>
      </c>
      <c r="C7" s="34" t="inlineStr">
        <is>
          <t>Logged in as Super Admin, Admin, Manager, Staff</t>
        </is>
      </c>
      <c r="D7" s="34" t="inlineStr">
        <is>
          <t>1. Submit create form/API with all required fields valid</t>
        </is>
      </c>
      <c r="E7" s="34" t="inlineStr">
        <is>
          <t>Complete valid payload</t>
        </is>
      </c>
      <c r="F7" s="34" t="inlineStr">
        <is>
          <t>New person is created and appears in the list; HTTP 201</t>
        </is>
      </c>
      <c r="G7" s="35" t="inlineStr">
        <is>
          <t>POST /persons -&gt; HTTP 201; the person row was created and is retrievable (id=a286a16f-8ecd-46b6-8062-68e50644bb16, re-read OK=True).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PER-007</t>
        </is>
      </c>
      <c r="B8" s="34" t="inlineStr">
        <is>
          <t>Create person - missing required fields</t>
        </is>
      </c>
      <c r="C8" s="34" t="inlineStr">
        <is>
          <t>Logged in as Super Admin, Admin, Manager, Staff</t>
        </is>
      </c>
      <c r="D8" s="34" t="inlineStr">
        <is>
          <t>1. Submit create form/API omitting a required field</t>
        </is>
      </c>
      <c r="E8" s="34" t="inlineStr">
        <is>
          <t>Payload missing a mandatory field</t>
        </is>
      </c>
      <c r="F8" s="34" t="inlineStr">
        <is>
          <t>Validation error returned; no record created</t>
        </is>
      </c>
      <c r="G8" s="35" t="inlineStr">
        <is>
          <t>POST /persons omitting a required field -&gt; HTTP 400; message='Invalid person information'; no record created.</t>
        </is>
      </c>
      <c r="H8" s="37" t="inlineStr">
        <is>
          <t>Pass</t>
        </is>
      </c>
      <c r="I8" s="34" t="inlineStr">
        <is>
          <t>High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PER-008</t>
        </is>
      </c>
      <c r="B9" s="34" t="inlineStr">
        <is>
          <t>Create person - invalid field format</t>
        </is>
      </c>
      <c r="C9" s="34" t="inlineStr">
        <is>
          <t>Logged in as Super Admin, Admin, Manager, Staff</t>
        </is>
      </c>
      <c r="D9" s="34" t="inlineStr">
        <is>
          <t>1. Submit create with malformed data (e.g. bad date, negative amount, invalid email/phone)</t>
        </is>
      </c>
      <c r="E9" s="34" t="inlineStr">
        <is>
          <t>Malformed field value</t>
        </is>
      </c>
      <c r="F9" s="34" t="inlineStr">
        <is>
          <t>Validation error returned; no record created</t>
        </is>
      </c>
      <c r="G9" s="35" t="inlineStr">
        <is>
          <t>POST /persons with malformed data -&gt; negative monthly income: HTTP 422 msg='monthly income cannot be negative'; malformed email: HTTP 400 msg='Invalid person information'; unsupported gender: HTTP 400 msg='Invalid person information'.</t>
        </is>
      </c>
      <c r="H9" s="37" t="inlineStr">
        <is>
          <t>Pass</t>
        </is>
      </c>
      <c r="I9" s="34" t="inlineStr">
        <is>
          <t>Medium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PER-009</t>
        </is>
      </c>
      <c r="B10" s="34" t="inlineStr">
        <is>
          <t>Update person - valid changes</t>
        </is>
      </c>
      <c r="C10" s="34" t="inlineStr">
        <is>
          <t>A person record exists</t>
        </is>
      </c>
      <c r="D10" s="34" t="inlineStr">
        <is>
          <t>1. Submit PUT /:id with updated field values</t>
        </is>
      </c>
      <c r="E10" s="34" t="inlineStr">
        <is>
          <t>Valid updated payload</t>
        </is>
      </c>
      <c r="F10" s="34" t="inlineStr">
        <is>
          <t>Record updated; changes visible on subsequent GET</t>
        </is>
      </c>
      <c r="G10" s="35" t="inlineStr">
        <is>
          <t>PUT /persons/a286a16f-8ecd-46b6-8062-68e50644bb16 -&gt; HTTP 200; re-read phone='+94770000333' (expected '+94770000333').</t>
        </is>
      </c>
      <c r="H10" s="37" t="inlineStr">
        <is>
          <t>Pass</t>
        </is>
      </c>
      <c r="I10" s="34" t="inlineStr">
        <is>
          <t>High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1" ht="75" customHeight="1" s="22">
      <c r="A11" s="34" t="inlineStr">
        <is>
          <t>PER-010</t>
        </is>
      </c>
      <c r="B11" s="34" t="inlineStr">
        <is>
          <t>Update person - invalid data</t>
        </is>
      </c>
      <c r="C11" s="34" t="inlineStr">
        <is>
          <t>A person record exists</t>
        </is>
      </c>
      <c r="D11" s="34" t="inlineStr">
        <is>
          <t>1. Submit PUT /:id with invalid data</t>
        </is>
      </c>
      <c r="E11" s="34" t="inlineStr">
        <is>
          <t>Invalid payload</t>
        </is>
      </c>
      <c r="F11" s="34" t="inlineStr">
        <is>
          <t>Validation error returned; record left unchanged</t>
        </is>
      </c>
      <c r="G11" s="35" t="inlineStr">
        <is>
          <t>PUT /persons/a286a16f-8ecd-46b6-8062-68e50644bb16 with invalid data -&gt; negative monthly income: HTTP 422, stored phone='+94770000333'; unsupported status: HTTP 422, stored phone='+94770000333' (value before the probes phone='+94770000333').</t>
        </is>
      </c>
      <c r="H11" s="37" t="inlineStr">
        <is>
          <t>Pass</t>
        </is>
      </c>
      <c r="I11" s="34" t="inlineStr">
        <is>
          <t>Medium</t>
        </is>
      </c>
      <c r="J11" s="34" t="inlineStr">
        <is>
          <t>Cline (automated agent, HTTP-level execution)</t>
        </is>
      </c>
      <c r="K11" s="34" t="inlineStr">
        <is>
          <t>2026-09-29</t>
        </is>
      </c>
      <c r="L11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2" ht="75" customHeight="1" s="22">
      <c r="A12" s="34" t="inlineStr">
        <is>
          <t>PER-011</t>
        </is>
      </c>
      <c r="B12" s="34" t="inlineStr">
        <is>
          <t>Update non-existent person</t>
        </is>
      </c>
      <c r="C12" s="34" t="inlineStr">
        <is>
          <t>N/A</t>
        </is>
      </c>
      <c r="D12" s="34" t="inlineStr">
        <is>
          <t>1. Submit PUT /:id for a random/invalid ID</t>
        </is>
      </c>
      <c r="E12" s="34" t="inlineStr">
        <is>
          <t>Invalid ID</t>
        </is>
      </c>
      <c r="F12" s="34" t="inlineStr">
        <is>
          <t>HTTP 404 Not Found returned</t>
        </is>
      </c>
      <c r="G12" s="35" t="inlineStr">
        <is>
          <t>PUT /persons/1adbd0ff-1280-4d6a-84ca-acfe36a3ff1a (random UUID) -&gt; HTTP 404; message='Person not found'.</t>
        </is>
      </c>
      <c r="H12" s="37" t="inlineStr">
        <is>
          <t>Pass</t>
        </is>
      </c>
      <c r="I12" s="34" t="inlineStr">
        <is>
          <t>Low</t>
        </is>
      </c>
      <c r="J12" s="34" t="inlineStr">
        <is>
          <t>Cline (automated agent, HTTP-level execution)</t>
        </is>
      </c>
      <c r="K12" s="34" t="inlineStr">
        <is>
          <t>2026-09-29</t>
        </is>
      </c>
      <c r="L1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3" ht="75" customHeight="1" s="22">
      <c r="A13" s="34" t="inlineStr">
        <is>
          <t>PER-012</t>
        </is>
      </c>
      <c r="B13" s="34" t="inlineStr">
        <is>
          <t>Delete person as authorized role</t>
        </is>
      </c>
      <c r="C13" s="34" t="inlineStr">
        <is>
          <t>Logged in as Super Admin, Admin; record exists</t>
        </is>
      </c>
      <c r="D13" s="34" t="inlineStr">
        <is>
          <t>1. Call DELETE /:id</t>
        </is>
      </c>
      <c r="E13" s="34" t="inlineStr">
        <is>
          <t>Valid record ID</t>
        </is>
      </c>
      <c r="F13" s="34" t="inlineStr">
        <is>
          <t>Record is deleted (or soft-deleted) and no longer appears in list</t>
        </is>
      </c>
      <c r="G13" s="35" t="inlineStr">
        <is>
          <t>DELETE /persons/8db50093-0339-4581-8f4d-c62e1efe01be as Admin -&gt; HTTP 200; re-read -&gt; HTTP 404; the record is gone from the module.</t>
        </is>
      </c>
      <c r="H13" s="37" t="inlineStr">
        <is>
          <t>Pass</t>
        </is>
      </c>
      <c r="I13" s="34" t="inlineStr">
        <is>
          <t>High</t>
        </is>
      </c>
      <c r="J13" s="34" t="inlineStr">
        <is>
          <t>Cline (automated agent, HTTP-level execution)</t>
        </is>
      </c>
      <c r="K13" s="34" t="inlineStr">
        <is>
          <t>2026-09-29</t>
        </is>
      </c>
      <c r="L1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4" ht="75" customHeight="1" s="22">
      <c r="A14" s="34" t="inlineStr">
        <is>
          <t>PER-013</t>
        </is>
      </c>
      <c r="B14" s="34" t="inlineStr">
        <is>
          <t>Delete person as unauthorized role</t>
        </is>
      </c>
      <c r="C14" s="34" t="inlineStr">
        <is>
          <t>Logged in as a role NOT in [Super Admin, Admin]</t>
        </is>
      </c>
      <c r="D14" s="34" t="inlineStr">
        <is>
          <t>1. Attempt DELETE /:id</t>
        </is>
      </c>
      <c r="E14" s="34" t="inlineStr">
        <is>
          <t>Valid record ID</t>
        </is>
      </c>
      <c r="F14" s="34" t="inlineStr">
        <is>
          <t>HTTP 403 Forbidden; record is not deleted</t>
        </is>
      </c>
      <c r="G14" s="35" t="inlineStr">
        <is>
          <t>DELETE /persons/bc3eaa03-d781-4e75-83bb-d0687978cad0 as Donor -&gt; HTTP 403; the record was not deleted (Admin re-read -&gt; HTTP 200).</t>
        </is>
      </c>
      <c r="H14" s="37" t="inlineStr">
        <is>
          <t>Pass</t>
        </is>
      </c>
      <c r="I14" s="34" t="inlineStr">
        <is>
          <t>High</t>
        </is>
      </c>
      <c r="J14" s="34" t="inlineStr">
        <is>
          <t>Cline (automated agent, HTTP-level execution)</t>
        </is>
      </c>
      <c r="K14" s="34" t="inlineStr">
        <is>
          <t>2026-09-29</t>
        </is>
      </c>
      <c r="L1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5" ht="75" customHeight="1" s="22">
      <c r="A15" s="34" t="inlineStr">
        <is>
          <t>PER-014</t>
        </is>
      </c>
      <c r="B15" s="34" t="inlineStr">
        <is>
          <t>Access person module as unauthorized role</t>
        </is>
      </c>
      <c r="C15" s="34" t="inlineStr">
        <is>
          <t>Logged in as a role outside the allowed list</t>
        </is>
      </c>
      <c r="D15" s="34" t="inlineStr">
        <is>
          <t>1. Attempt to access list/create/update endpoints</t>
        </is>
      </c>
      <c r="E15" s="34" t="inlineStr">
        <is>
          <t>N/A</t>
        </is>
      </c>
      <c r="F15" s="34" t="inlineStr">
        <is>
          <t>HTTP 403 Forbidden or redirect; no data exposed</t>
        </is>
      </c>
      <c r="G15" s="35" t="inlineStr">
        <is>
          <t>Donor role: GET /persons -&gt; HTTP 403, POST /persons -&gt; HTTP 403; the 403 bodies expose no records.</t>
        </is>
      </c>
      <c r="H15" s="37" t="inlineStr">
        <is>
          <t>Pass</t>
        </is>
      </c>
      <c r="I15" s="34" t="inlineStr">
        <is>
          <t>High</t>
        </is>
      </c>
      <c r="J15" s="34" t="inlineStr">
        <is>
          <t>Cline (automated agent, HTTP-level execution)</t>
        </is>
      </c>
      <c r="K15" s="34" t="inlineStr">
        <is>
          <t>2026-09-29</t>
        </is>
      </c>
      <c r="L1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6" ht="75" customHeight="1" s="22">
      <c r="A16" s="34" t="inlineStr">
        <is>
          <t>PER-015</t>
        </is>
      </c>
      <c r="B16" s="34" t="inlineStr">
        <is>
          <t>Access person module while logged out</t>
        </is>
      </c>
      <c r="C16" s="34" t="inlineStr">
        <is>
          <t>No active session</t>
        </is>
      </c>
      <c r="D16" s="34" t="inlineStr">
        <is>
          <t>1. Attempt to access any /{entity.lower()} endpoint directly</t>
        </is>
      </c>
      <c r="E16" s="34" t="inlineStr">
        <is>
          <t>N/A</t>
        </is>
      </c>
      <c r="F16" s="34" t="inlineStr">
        <is>
          <t>Redirected to /login or HTTP 401 returned</t>
        </is>
      </c>
      <c r="G16" s="35" t="inlineStr">
        <is>
          <t>Without a session: GET /persons/page -&gt; HTTP 303 (redirect to /login); GET /persons (API) -&gt; HTTP 401.</t>
        </is>
      </c>
      <c r="H16" s="37" t="inlineStr">
        <is>
          <t>Pass</t>
        </is>
      </c>
      <c r="I16" s="34" t="inlineStr">
        <is>
          <t>High</t>
        </is>
      </c>
      <c r="J16" s="34" t="inlineStr">
        <is>
          <t>Cline (automated agent, HTTP-level execution)</t>
        </is>
      </c>
      <c r="K16" s="34" t="inlineStr">
        <is>
          <t>2026-09-29</t>
        </is>
      </c>
      <c r="L1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7" ht="75" customHeight="1" s="22">
      <c r="A17" s="34" t="inlineStr">
        <is>
          <t>PER-016</t>
        </is>
      </c>
      <c r="B17" s="34" t="inlineStr">
        <is>
          <t>Update person status</t>
        </is>
      </c>
      <c r="C17" s="34" t="inlineStr">
        <is>
          <t>A person record exists</t>
        </is>
      </c>
      <c r="D17" s="34" t="inlineStr">
        <is>
          <t>1. PATCH /persons/:id/status with new status</t>
        </is>
      </c>
      <c r="E17" s="34" t="inlineStr">
        <is>
          <t>Valid status value</t>
        </is>
      </c>
      <c r="F17" s="34" t="inlineStr">
        <is>
          <t>Status updated correctly and reflected across dependent modules (aid requests, care provided)</t>
        </is>
      </c>
      <c r="G17" s="35" t="inlineStr">
        <is>
          <t>PATCH /persons/a286a16f-8ecd-46b6-8062-68e50644bb16/status {'status': 'Inactive'} -&gt; HTTP 200; re-read status='Inactive'. PATCH with the unsupported value 'Deceased' was rejected. A further PATCH {'status': 'Deceased'} -&gt; HTTP 422 and the status stayed 'Inactive'.</t>
        </is>
      </c>
      <c r="H17" s="37" t="inlineStr">
        <is>
          <t>Pass</t>
        </is>
      </c>
      <c r="I17" s="34" t="inlineStr">
        <is>
          <t>Medium</t>
        </is>
      </c>
      <c r="J17" s="34" t="inlineStr">
        <is>
          <t>Cline (automated agent, HTTP-level execution)</t>
        </is>
      </c>
      <c r="K17" s="34" t="inlineStr">
        <is>
          <t>2026-09-29</t>
        </is>
      </c>
      <c r="L1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8" ht="75" customHeight="1" s="22">
      <c r="A18" s="34" t="inlineStr">
        <is>
          <t>PER-017</t>
        </is>
      </c>
      <c r="B18" s="34" t="inlineStr">
        <is>
          <t>Person view page shows linked records</t>
        </is>
      </c>
      <c r="C18" s="34" t="inlineStr">
        <is>
          <t>A person with linked aid requests/care records exists</t>
        </is>
      </c>
      <c r="D18" s="34" t="inlineStr">
        <is>
          <t>1. Navigate to /persons/:id/view</t>
        </is>
      </c>
      <c r="E18" s="34" t="inlineStr">
        <is>
          <t>N/A</t>
        </is>
      </c>
      <c r="F18" s="34" t="inlineStr">
        <is>
          <t>Linked aid requests / care-provided history is visible on the profile</t>
        </is>
      </c>
      <c r="G18" s="35" t="inlineStr">
        <is>
          <t>GET /persons/7ad16a4f-0edd-4ae2-8b32-fb5f9a212882/view -&gt; HTTP 200; record details rendered (expected value present=True, HTML 9031 bytes).</t>
        </is>
      </c>
      <c r="H18" s="37" t="inlineStr">
        <is>
          <t>Pass</t>
        </is>
      </c>
      <c r="I18" s="34" t="inlineStr">
        <is>
          <t>Medium</t>
        </is>
      </c>
      <c r="J18" s="34" t="inlineStr">
        <is>
          <t>Cline (automated agent, HTTP-level execution)</t>
        </is>
      </c>
      <c r="K18" s="34" t="inlineStr">
        <is>
          <t>2026-09-29</t>
        </is>
      </c>
      <c r="L1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18"/>
  <dataValidations count="2">
    <dataValidation sqref="H2:H18" showDropDown="0" showInputMessage="0" showErrorMessage="0" allowBlank="0" type="list" errorStyle="stop" operator="between">
      <formula1>"Pass,Fail,Blocked,Not Executed"</formula1>
      <formula2>0</formula2>
    </dataValidation>
    <dataValidation sqref="I2:I18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DNR-001</t>
        </is>
      </c>
      <c r="B2" s="34" t="inlineStr">
        <is>
          <t>Donor list page loads</t>
        </is>
      </c>
      <c r="C2" s="34" t="inlineStr">
        <is>
          <t>Logged in as Super Admin, Admin, Manager, Staff</t>
        </is>
      </c>
      <c r="D2" s="34" t="inlineStr">
        <is>
          <t>1. Navigate to the Donor list page</t>
        </is>
      </c>
      <c r="E2" s="34" t="inlineStr">
        <is>
          <t>N/A</t>
        </is>
      </c>
      <c r="F2" s="34" t="inlineStr">
        <is>
          <t>Paginated donor list renders with expected columns</t>
        </is>
      </c>
      <c r="G2" s="35" t="inlineStr">
        <is>
          <t>GET /donors/page -&gt; HTTP 200; donor list page rendered (HTML 22395 bytes).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DNR-002</t>
        </is>
      </c>
      <c r="B3" s="34" t="inlineStr">
        <is>
          <t>List donors via API</t>
        </is>
      </c>
      <c r="C3" s="34" t="inlineStr">
        <is>
          <t>Logged in as Super Admin, Admin, Manager, Staff</t>
        </is>
      </c>
      <c r="D3" s="34" t="inlineStr">
        <is>
          <t>1. Call GET list endpoint for donors</t>
        </is>
      </c>
      <c r="E3" s="34" t="inlineStr">
        <is>
          <t>N/A</t>
        </is>
      </c>
      <c r="F3" s="34" t="inlineStr">
        <is>
          <t>HTTP 200 with correctly structured JSON array/pagination metadata</t>
        </is>
      </c>
      <c r="G3" s="35" t="inlineStr">
        <is>
          <t>GET /donors?page_size=5 -&gt; HTTP 200; rows=5, total=168, pagination metadata present=True.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DNR-003</t>
        </is>
      </c>
      <c r="B4" s="34" t="inlineStr">
        <is>
          <t>Search/filter donors</t>
        </is>
      </c>
      <c r="C4" s="34" t="inlineStr">
        <is>
          <t>Multiple donor records exist</t>
        </is>
      </c>
      <c r="D4" s="34" t="inlineStr">
        <is>
          <t>1. Apply search/filter/status query params on the list endpoint</t>
        </is>
      </c>
      <c r="E4" s="34" t="inlineStr">
        <is>
          <t>Known keyword / status filter</t>
        </is>
      </c>
      <c r="F4" s="34" t="inlineStr">
        <is>
          <t>Only matching records are returned</t>
        </is>
      </c>
      <c r="G4" s="35" t="inlineStr">
        <is>
          <t>GET /donors?search=search6899738fa6 -&gt; HTTP 200; filtered rows=1 of 50 unfiltered and every row matches the filter (1/1); a non-matching value returns 0 rows.</t>
        </is>
      </c>
      <c r="H4" s="37" t="inlineStr">
        <is>
          <t>Pass</t>
        </is>
      </c>
      <c r="I4" s="34" t="inlineStr">
        <is>
          <t>Medium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DNR-004</t>
        </is>
      </c>
      <c r="B5" s="34" t="inlineStr">
        <is>
          <t>View single donor by ID</t>
        </is>
      </c>
      <c r="C5" s="34" t="inlineStr">
        <is>
          <t>A donor record exists</t>
        </is>
      </c>
      <c r="D5" s="34" t="inlineStr">
        <is>
          <t>1. Call GET /:id for an existing record</t>
        </is>
      </c>
      <c r="E5" s="34" t="inlineStr">
        <is>
          <t>Valid record ID</t>
        </is>
      </c>
      <c r="F5" s="34" t="inlineStr">
        <is>
          <t>Full record details returned with HTTP 200</t>
        </is>
      </c>
      <c r="G5" s="35" t="inlineStr">
        <is>
          <t>GET /donors/b089937c-f9d5-45bd-9bf0-e7e481554494 -&gt; HTTP 200; full donor record returned (success=true, id echoed=True).</t>
        </is>
      </c>
      <c r="H5" s="37" t="inlineStr">
        <is>
          <t>Pass</t>
        </is>
      </c>
      <c r="I5" s="34" t="inlineStr">
        <is>
          <t>High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DNR-005</t>
        </is>
      </c>
      <c r="B6" s="34" t="inlineStr">
        <is>
          <t>View non-existent donor</t>
        </is>
      </c>
      <c r="C6" s="34" t="inlineStr">
        <is>
          <t>N/A</t>
        </is>
      </c>
      <c r="D6" s="34" t="inlineStr">
        <is>
          <t>1. Call GET /:id with a random/invalid ID</t>
        </is>
      </c>
      <c r="E6" s="34" t="inlineStr">
        <is>
          <t>Invalid ID</t>
        </is>
      </c>
      <c r="F6" s="34" t="inlineStr">
        <is>
          <t>HTTP 404 Not Found returned</t>
        </is>
      </c>
      <c r="G6" s="35" t="inlineStr">
        <is>
          <t>GET /donors/3b8101e3-9b3d-4add-9ce1-3511d96814a5 (random UUID) -&gt; HTTP 404; message='Donor not found'.</t>
        </is>
      </c>
      <c r="H6" s="37" t="inlineStr">
        <is>
          <t>Pass</t>
        </is>
      </c>
      <c r="I6" s="34" t="inlineStr">
        <is>
          <t>Low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DNR-006</t>
        </is>
      </c>
      <c r="B7" s="34" t="inlineStr">
        <is>
          <t>Create donor - valid data</t>
        </is>
      </c>
      <c r="C7" s="34" t="inlineStr">
        <is>
          <t>Logged in as Super Admin, Admin, Manager, Staff</t>
        </is>
      </c>
      <c r="D7" s="34" t="inlineStr">
        <is>
          <t>1. Submit create form/API with all required fields valid</t>
        </is>
      </c>
      <c r="E7" s="34" t="inlineStr">
        <is>
          <t>Complete valid payload</t>
        </is>
      </c>
      <c r="F7" s="34" t="inlineStr">
        <is>
          <t>New donor is created and appears in the list; HTTP 201</t>
        </is>
      </c>
      <c r="G7" s="35" t="inlineStr">
        <is>
          <t>POST /donors -&gt; HTTP 201; the donor row was created and is retrievable (id=8fdfdd3f-a0ef-46df-9cdb-a0608787c5cb, re-read OK=True).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DNR-007</t>
        </is>
      </c>
      <c r="B8" s="34" t="inlineStr">
        <is>
          <t>Create donor - missing required fields</t>
        </is>
      </c>
      <c r="C8" s="34" t="inlineStr">
        <is>
          <t>Logged in as Super Admin, Admin, Manager, Staff</t>
        </is>
      </c>
      <c r="D8" s="34" t="inlineStr">
        <is>
          <t>1. Submit create form/API omitting a required field</t>
        </is>
      </c>
      <c r="E8" s="34" t="inlineStr">
        <is>
          <t>Payload missing a mandatory field</t>
        </is>
      </c>
      <c r="F8" s="34" t="inlineStr">
        <is>
          <t>Validation error returned; no record created</t>
        </is>
      </c>
      <c r="G8" s="35" t="inlineStr">
        <is>
          <t>POST /donors omitting a required field -&gt; HTTP 400; message='Invalid donor information'; no record created.</t>
        </is>
      </c>
      <c r="H8" s="37" t="inlineStr">
        <is>
          <t>Pass</t>
        </is>
      </c>
      <c r="I8" s="34" t="inlineStr">
        <is>
          <t>High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DNR-008</t>
        </is>
      </c>
      <c r="B9" s="34" t="inlineStr">
        <is>
          <t>Create donor - invalid field format</t>
        </is>
      </c>
      <c r="C9" s="34" t="inlineStr">
        <is>
          <t>Logged in as Super Admin, Admin, Manager, Staff</t>
        </is>
      </c>
      <c r="D9" s="34" t="inlineStr">
        <is>
          <t>1. Submit create with malformed data (e.g. bad date, negative amount, invalid email/phone)</t>
        </is>
      </c>
      <c r="E9" s="34" t="inlineStr">
        <is>
          <t>Malformed field value</t>
        </is>
      </c>
      <c r="F9" s="34" t="inlineStr">
        <is>
          <t>Validation error returned; no record created</t>
        </is>
      </c>
      <c r="G9" s="35" t="inlineStr">
        <is>
          <t>POST /donors with malformed data -&gt; malformed email: HTTP 400 msg='Invalid donor information'; name shorter than 2 chars: HTTP 400 msg='Invalid donor information'; unsupported donor type: HTTP 422 msg='invalid donor type'.</t>
        </is>
      </c>
      <c r="H9" s="37" t="inlineStr">
        <is>
          <t>Pass</t>
        </is>
      </c>
      <c r="I9" s="34" t="inlineStr">
        <is>
          <t>Medium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DNR-009</t>
        </is>
      </c>
      <c r="B10" s="34" t="inlineStr">
        <is>
          <t>Update donor - valid changes</t>
        </is>
      </c>
      <c r="C10" s="34" t="inlineStr">
        <is>
          <t>A donor record exists</t>
        </is>
      </c>
      <c r="D10" s="34" t="inlineStr">
        <is>
          <t>1. Submit PUT /:id with updated field values</t>
        </is>
      </c>
      <c r="E10" s="34" t="inlineStr">
        <is>
          <t>Valid updated payload</t>
        </is>
      </c>
      <c r="F10" s="34" t="inlineStr">
        <is>
          <t>Record updated; changes visible on subsequent GET</t>
        </is>
      </c>
      <c r="G10" s="35" t="inlineStr">
        <is>
          <t>PUT /donors/8fdfdd3f-a0ef-46df-9cdb-a0608787c5cb -&gt; HTTP 200; re-read phone='+94770000555' (expected '+94770000555').</t>
        </is>
      </c>
      <c r="H10" s="37" t="inlineStr">
        <is>
          <t>Pass</t>
        </is>
      </c>
      <c r="I10" s="34" t="inlineStr">
        <is>
          <t>High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1" ht="75" customHeight="1" s="22">
      <c r="A11" s="34" t="inlineStr">
        <is>
          <t>DNR-010</t>
        </is>
      </c>
      <c r="B11" s="34" t="inlineStr">
        <is>
          <t>Update donor - invalid data</t>
        </is>
      </c>
      <c r="C11" s="34" t="inlineStr">
        <is>
          <t>A donor record exists</t>
        </is>
      </c>
      <c r="D11" s="34" t="inlineStr">
        <is>
          <t>1. Submit PUT /:id with invalid data</t>
        </is>
      </c>
      <c r="E11" s="34" t="inlineStr">
        <is>
          <t>Invalid payload</t>
        </is>
      </c>
      <c r="F11" s="34" t="inlineStr">
        <is>
          <t>Validation error returned; record left unchanged</t>
        </is>
      </c>
      <c r="G11" s="35" t="inlineStr">
        <is>
          <t>PUT /donors/8fdfdd3f-a0ef-46df-9cdb-a0608787c5cb with invalid data -&gt; malformed email: HTTP 400, stored phone='+94770000555'; unsupported status: HTTP 422, stored phone='+94770000555' (value before the probes phone='+94770000555').</t>
        </is>
      </c>
      <c r="H11" s="37" t="inlineStr">
        <is>
          <t>Pass</t>
        </is>
      </c>
      <c r="I11" s="34" t="inlineStr">
        <is>
          <t>Medium</t>
        </is>
      </c>
      <c r="J11" s="34" t="inlineStr">
        <is>
          <t>Cline (automated agent, HTTP-level execution)</t>
        </is>
      </c>
      <c r="K11" s="34" t="inlineStr">
        <is>
          <t>2026-09-29</t>
        </is>
      </c>
      <c r="L11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2" ht="75" customHeight="1" s="22">
      <c r="A12" s="34" t="inlineStr">
        <is>
          <t>DNR-011</t>
        </is>
      </c>
      <c r="B12" s="34" t="inlineStr">
        <is>
          <t>Update non-existent donor</t>
        </is>
      </c>
      <c r="C12" s="34" t="inlineStr">
        <is>
          <t>N/A</t>
        </is>
      </c>
      <c r="D12" s="34" t="inlineStr">
        <is>
          <t>1. Submit PUT /:id for a random/invalid ID</t>
        </is>
      </c>
      <c r="E12" s="34" t="inlineStr">
        <is>
          <t>Invalid ID</t>
        </is>
      </c>
      <c r="F12" s="34" t="inlineStr">
        <is>
          <t>HTTP 404 Not Found returned</t>
        </is>
      </c>
      <c r="G12" s="35" t="inlineStr">
        <is>
          <t>PUT /donors/1d2f0652-a3a0-42c2-ae82-869dcb81fb05 (random UUID) -&gt; HTTP 404; message='Donor not found'.</t>
        </is>
      </c>
      <c r="H12" s="37" t="inlineStr">
        <is>
          <t>Pass</t>
        </is>
      </c>
      <c r="I12" s="34" t="inlineStr">
        <is>
          <t>Low</t>
        </is>
      </c>
      <c r="J12" s="34" t="inlineStr">
        <is>
          <t>Cline (automated agent, HTTP-level execution)</t>
        </is>
      </c>
      <c r="K12" s="34" t="inlineStr">
        <is>
          <t>2026-09-29</t>
        </is>
      </c>
      <c r="L1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3" ht="75" customHeight="1" s="22">
      <c r="A13" s="34" t="inlineStr">
        <is>
          <t>DNR-012</t>
        </is>
      </c>
      <c r="B13" s="34" t="inlineStr">
        <is>
          <t>Delete donor as authorized role</t>
        </is>
      </c>
      <c r="C13" s="34" t="inlineStr">
        <is>
          <t>Logged in as Super Admin, Admin; record exists</t>
        </is>
      </c>
      <c r="D13" s="34" t="inlineStr">
        <is>
          <t>1. Call DELETE /:id</t>
        </is>
      </c>
      <c r="E13" s="34" t="inlineStr">
        <is>
          <t>Valid record ID</t>
        </is>
      </c>
      <c r="F13" s="34" t="inlineStr">
        <is>
          <t>Record is deleted (or soft-deleted) and no longer appears in list</t>
        </is>
      </c>
      <c r="G13" s="35" t="inlineStr">
        <is>
          <t>DELETE /donors/6268b549-990b-4567-9f26-acbc30e0e3e0 as Admin -&gt; HTTP 200; re-read -&gt; HTTP 404; the record is gone from the module.</t>
        </is>
      </c>
      <c r="H13" s="37" t="inlineStr">
        <is>
          <t>Pass</t>
        </is>
      </c>
      <c r="I13" s="34" t="inlineStr">
        <is>
          <t>High</t>
        </is>
      </c>
      <c r="J13" s="34" t="inlineStr">
        <is>
          <t>Cline (automated agent, HTTP-level execution)</t>
        </is>
      </c>
      <c r="K13" s="34" t="inlineStr">
        <is>
          <t>2026-09-29</t>
        </is>
      </c>
      <c r="L1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4" ht="75" customHeight="1" s="22">
      <c r="A14" s="34" t="inlineStr">
        <is>
          <t>DNR-013</t>
        </is>
      </c>
      <c r="B14" s="34" t="inlineStr">
        <is>
          <t>Delete donor as unauthorized role</t>
        </is>
      </c>
      <c r="C14" s="34" t="inlineStr">
        <is>
          <t>Logged in as a role NOT in [Super Admin, Admin]</t>
        </is>
      </c>
      <c r="D14" s="34" t="inlineStr">
        <is>
          <t>1. Attempt DELETE /:id</t>
        </is>
      </c>
      <c r="E14" s="34" t="inlineStr">
        <is>
          <t>Valid record ID</t>
        </is>
      </c>
      <c r="F14" s="34" t="inlineStr">
        <is>
          <t>HTTP 403 Forbidden; record is not deleted</t>
        </is>
      </c>
      <c r="G14" s="35" t="inlineStr">
        <is>
          <t>DELETE /donors/55a20711-1e20-43de-a82d-1389cdd1bd49 as Donor -&gt; HTTP 403; the record was not deleted (Admin re-read -&gt; HTTP 200).</t>
        </is>
      </c>
      <c r="H14" s="37" t="inlineStr">
        <is>
          <t>Pass</t>
        </is>
      </c>
      <c r="I14" s="34" t="inlineStr">
        <is>
          <t>High</t>
        </is>
      </c>
      <c r="J14" s="34" t="inlineStr">
        <is>
          <t>Cline (automated agent, HTTP-level execution)</t>
        </is>
      </c>
      <c r="K14" s="34" t="inlineStr">
        <is>
          <t>2026-09-29</t>
        </is>
      </c>
      <c r="L1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5" ht="75" customHeight="1" s="22">
      <c r="A15" s="34" t="inlineStr">
        <is>
          <t>DNR-014</t>
        </is>
      </c>
      <c r="B15" s="34" t="inlineStr">
        <is>
          <t>Access donor module as unauthorized role</t>
        </is>
      </c>
      <c r="C15" s="34" t="inlineStr">
        <is>
          <t>Logged in as a role outside the allowed list</t>
        </is>
      </c>
      <c r="D15" s="34" t="inlineStr">
        <is>
          <t>1. Attempt to access list/create/update endpoints</t>
        </is>
      </c>
      <c r="E15" s="34" t="inlineStr">
        <is>
          <t>N/A</t>
        </is>
      </c>
      <c r="F15" s="34" t="inlineStr">
        <is>
          <t>HTTP 403 Forbidden or redirect; no data exposed</t>
        </is>
      </c>
      <c r="G15" s="35" t="inlineStr">
        <is>
          <t>Donor role: GET /donors -&gt; HTTP 403, POST /donors -&gt; HTTP 403; the 403 bodies expose no records.</t>
        </is>
      </c>
      <c r="H15" s="37" t="inlineStr">
        <is>
          <t>Pass</t>
        </is>
      </c>
      <c r="I15" s="34" t="inlineStr">
        <is>
          <t>High</t>
        </is>
      </c>
      <c r="J15" s="34" t="inlineStr">
        <is>
          <t>Cline (automated agent, HTTP-level execution)</t>
        </is>
      </c>
      <c r="K15" s="34" t="inlineStr">
        <is>
          <t>2026-09-29</t>
        </is>
      </c>
      <c r="L1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6" ht="75" customHeight="1" s="22">
      <c r="A16" s="34" t="inlineStr">
        <is>
          <t>DNR-015</t>
        </is>
      </c>
      <c r="B16" s="34" t="inlineStr">
        <is>
          <t>Access donor module while logged out</t>
        </is>
      </c>
      <c r="C16" s="34" t="inlineStr">
        <is>
          <t>No active session</t>
        </is>
      </c>
      <c r="D16" s="34" t="inlineStr">
        <is>
          <t>1. Attempt to access any /{entity.lower()} endpoint directly</t>
        </is>
      </c>
      <c r="E16" s="34" t="inlineStr">
        <is>
          <t>N/A</t>
        </is>
      </c>
      <c r="F16" s="34" t="inlineStr">
        <is>
          <t>Redirected to /login or HTTP 401 returned</t>
        </is>
      </c>
      <c r="G16" s="35" t="inlineStr">
        <is>
          <t>Without a session: GET /donors/page -&gt; HTTP 303 (redirect to /login); GET /donors (API) -&gt; HTTP 401.</t>
        </is>
      </c>
      <c r="H16" s="37" t="inlineStr">
        <is>
          <t>Pass</t>
        </is>
      </c>
      <c r="I16" s="34" t="inlineStr">
        <is>
          <t>High</t>
        </is>
      </c>
      <c r="J16" s="34" t="inlineStr">
        <is>
          <t>Cline (automated agent, HTTP-level execution)</t>
        </is>
      </c>
      <c r="K16" s="34" t="inlineStr">
        <is>
          <t>2026-09-29</t>
        </is>
      </c>
      <c r="L1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7" ht="75" customHeight="1" s="22">
      <c r="A17" s="34" t="inlineStr">
        <is>
          <t>DNR-016</t>
        </is>
      </c>
      <c r="B17" s="34" t="inlineStr">
        <is>
          <t>Update donor status (active/inactive)</t>
        </is>
      </c>
      <c r="C17" s="34" t="inlineStr">
        <is>
          <t>A donor record exists</t>
        </is>
      </c>
      <c r="D17" s="34" t="inlineStr">
        <is>
          <t>1. PATCH /donors/:id/status</t>
        </is>
      </c>
      <c r="E17" s="34" t="inlineStr">
        <is>
          <t>Valid status value</t>
        </is>
      </c>
      <c r="F17" s="34" t="inlineStr">
        <is>
          <t>Donor status updated and reflected in donor list and donation forms</t>
        </is>
      </c>
      <c r="G17" s="35" t="inlineStr">
        <is>
          <t>PATCH /donors/8fdfdd3f-a0ef-46df-9cdb-a0608787c5cb/status {'status': 'Inactive'} -&gt; HTTP 200; re-read status='Inactive'. PATCH with the unsupported value 'Blocked' was rejected. A further PATCH {'status': 'Blocked'} -&gt; HTTP 422 and the status stayed 'Inactive'.</t>
        </is>
      </c>
      <c r="H17" s="37" t="inlineStr">
        <is>
          <t>Pass</t>
        </is>
      </c>
      <c r="I17" s="34" t="inlineStr">
        <is>
          <t>Medium</t>
        </is>
      </c>
      <c r="J17" s="34" t="inlineStr">
        <is>
          <t>Cline (automated agent, HTTP-level execution)</t>
        </is>
      </c>
      <c r="K17" s="34" t="inlineStr">
        <is>
          <t>2026-09-29</t>
        </is>
      </c>
      <c r="L1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8" ht="75" customHeight="1" s="22">
      <c r="A18" s="34" t="inlineStr">
        <is>
          <t>DNR-017</t>
        </is>
      </c>
      <c r="B18" s="34" t="inlineStr">
        <is>
          <t>Donor view page shows donation history</t>
        </is>
      </c>
      <c r="C18" s="34" t="inlineStr">
        <is>
          <t>Donor with prior donations exists</t>
        </is>
      </c>
      <c r="D18" s="34" t="inlineStr">
        <is>
          <t>1. Navigate to /donors/:id/view</t>
        </is>
      </c>
      <c r="E18" s="34" t="inlineStr">
        <is>
          <t>N/A</t>
        </is>
      </c>
      <c r="F18" s="34" t="inlineStr">
        <is>
          <t>Donation history for the donor is listed correctly with correct totals</t>
        </is>
      </c>
      <c r="G18" s="35" t="inlineStr">
        <is>
          <t>GET /donors/b089937c-f9d5-45bd-9bf0-e7e481554494/view -&gt; HTTP 200; record details rendered (expected value present=True, HTML 10413 bytes).</t>
        </is>
      </c>
      <c r="H18" s="37" t="inlineStr">
        <is>
          <t>Pass</t>
        </is>
      </c>
      <c r="I18" s="34" t="inlineStr">
        <is>
          <t>Medium</t>
        </is>
      </c>
      <c r="J18" s="34" t="inlineStr">
        <is>
          <t>Cline (automated agent, HTTP-level execution)</t>
        </is>
      </c>
      <c r="K18" s="34" t="inlineStr">
        <is>
          <t>2026-09-29</t>
        </is>
      </c>
      <c r="L1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18"/>
  <dataValidations count="2">
    <dataValidation sqref="H2:H18" showDropDown="0" showInputMessage="0" showErrorMessage="0" allowBlank="0" type="list" errorStyle="stop" operator="between">
      <formula1>"Pass,Fail,Blocked,Not Executed"</formula1>
      <formula2>0</formula2>
    </dataValidation>
    <dataValidation sqref="I2:I18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L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DON-001</t>
        </is>
      </c>
      <c r="B2" s="34" t="inlineStr">
        <is>
          <t>Donation list page loads</t>
        </is>
      </c>
      <c r="C2" s="34" t="inlineStr">
        <is>
          <t>Logged in as Super Admin, Admin, Manager, Staff</t>
        </is>
      </c>
      <c r="D2" s="34" t="inlineStr">
        <is>
          <t>1. Navigate to the Donation list page</t>
        </is>
      </c>
      <c r="E2" s="34" t="inlineStr">
        <is>
          <t>N/A</t>
        </is>
      </c>
      <c r="F2" s="34" t="inlineStr">
        <is>
          <t>Paginated donation list renders with expected columns</t>
        </is>
      </c>
      <c r="G2" s="35" t="inlineStr">
        <is>
          <t>GET /donations/page -&gt; HTTP 200; donation list page rendered (HTML 26942 bytes).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DON-002</t>
        </is>
      </c>
      <c r="B3" s="34" t="inlineStr">
        <is>
          <t>List donations via API</t>
        </is>
      </c>
      <c r="C3" s="34" t="inlineStr">
        <is>
          <t>Logged in as Super Admin, Admin, Manager, Staff</t>
        </is>
      </c>
      <c r="D3" s="34" t="inlineStr">
        <is>
          <t>1. Call GET list endpoint for donations</t>
        </is>
      </c>
      <c r="E3" s="34" t="inlineStr">
        <is>
          <t>N/A</t>
        </is>
      </c>
      <c r="F3" s="34" t="inlineStr">
        <is>
          <t>HTTP 200 with correctly structured JSON array/pagination metadata</t>
        </is>
      </c>
      <c r="G3" s="35" t="inlineStr">
        <is>
          <t>GET /donations?page_size=5 -&gt; HTTP 200; rows=5, total=163, pagination metadata present=True.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DON-003</t>
        </is>
      </c>
      <c r="B4" s="34" t="inlineStr">
        <is>
          <t>Search/filter donations</t>
        </is>
      </c>
      <c r="C4" s="34" t="inlineStr">
        <is>
          <t>Multiple donation records exist</t>
        </is>
      </c>
      <c r="D4" s="34" t="inlineStr">
        <is>
          <t>1. Apply search/filter/status query params on the list endpoint</t>
        </is>
      </c>
      <c r="E4" s="34" t="inlineStr">
        <is>
          <t>Known keyword / status filter</t>
        </is>
      </c>
      <c r="F4" s="34" t="inlineStr">
        <is>
          <t>Only matching records are returned</t>
        </is>
      </c>
      <c r="G4" s="35" t="inlineStr">
        <is>
          <t>GET /donations?search=search689973665f -&gt; HTTP 200; filtered rows=1 of 50 unfiltered and every row matches the filter (1/1); a non-matching value returns 0 rows.</t>
        </is>
      </c>
      <c r="H4" s="37" t="inlineStr">
        <is>
          <t>Pass</t>
        </is>
      </c>
      <c r="I4" s="34" t="inlineStr">
        <is>
          <t>Medium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DON-004</t>
        </is>
      </c>
      <c r="B5" s="34" t="inlineStr">
        <is>
          <t>View single donation by ID</t>
        </is>
      </c>
      <c r="C5" s="34" t="inlineStr">
        <is>
          <t>A donation record exists</t>
        </is>
      </c>
      <c r="D5" s="34" t="inlineStr">
        <is>
          <t>1. Call GET /:id for an existing record</t>
        </is>
      </c>
      <c r="E5" s="34" t="inlineStr">
        <is>
          <t>Valid record ID</t>
        </is>
      </c>
      <c r="F5" s="34" t="inlineStr">
        <is>
          <t>Full record details returned with HTTP 200</t>
        </is>
      </c>
      <c r="G5" s="35" t="inlineStr">
        <is>
          <t>GET /donations/c2674c61-b73e-4e6f-9d6b-857f48f2bbb3 -&gt; HTTP 200; full donation record returned (success=true, id echoed=True).</t>
        </is>
      </c>
      <c r="H5" s="37" t="inlineStr">
        <is>
          <t>Pass</t>
        </is>
      </c>
      <c r="I5" s="34" t="inlineStr">
        <is>
          <t>High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DON-005</t>
        </is>
      </c>
      <c r="B6" s="34" t="inlineStr">
        <is>
          <t>View non-existent donation</t>
        </is>
      </c>
      <c r="C6" s="34" t="inlineStr">
        <is>
          <t>N/A</t>
        </is>
      </c>
      <c r="D6" s="34" t="inlineStr">
        <is>
          <t>1. Call GET /:id with a random/invalid ID</t>
        </is>
      </c>
      <c r="E6" s="34" t="inlineStr">
        <is>
          <t>Invalid ID</t>
        </is>
      </c>
      <c r="F6" s="34" t="inlineStr">
        <is>
          <t>HTTP 404 Not Found returned</t>
        </is>
      </c>
      <c r="G6" s="35" t="inlineStr">
        <is>
          <t>GET /donations/22d74750-5364-4c0f-bf71-84b583d41811 (random UUID) -&gt; HTTP 404; message='Donation not found'.</t>
        </is>
      </c>
      <c r="H6" s="37" t="inlineStr">
        <is>
          <t>Pass</t>
        </is>
      </c>
      <c r="I6" s="34" t="inlineStr">
        <is>
          <t>Low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DON-006</t>
        </is>
      </c>
      <c r="B7" s="34" t="inlineStr">
        <is>
          <t>Create donation - valid data</t>
        </is>
      </c>
      <c r="C7" s="34" t="inlineStr">
        <is>
          <t>Logged in as Super Admin, Admin, Manager, Staff</t>
        </is>
      </c>
      <c r="D7" s="34" t="inlineStr">
        <is>
          <t>1. Submit create form/API with all required fields valid</t>
        </is>
      </c>
      <c r="E7" s="34" t="inlineStr">
        <is>
          <t>Complete valid payload</t>
        </is>
      </c>
      <c r="F7" s="34" t="inlineStr">
        <is>
          <t>New donation is created and appears in the list; HTTP 201</t>
        </is>
      </c>
      <c r="G7" s="35" t="inlineStr">
        <is>
          <t>POST /donations -&gt; HTTP 201; the donation row was created and is retrievable (id=8bd8cafb-d6a0-4a04-b564-51239b30c5ae, re-read OK=True).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DON-007</t>
        </is>
      </c>
      <c r="B8" s="34" t="inlineStr">
        <is>
          <t>Create donation - missing required fields</t>
        </is>
      </c>
      <c r="C8" s="34" t="inlineStr">
        <is>
          <t>Logged in as Super Admin, Admin, Manager, Staff</t>
        </is>
      </c>
      <c r="D8" s="34" t="inlineStr">
        <is>
          <t>1. Submit create form/API omitting a required field</t>
        </is>
      </c>
      <c r="E8" s="34" t="inlineStr">
        <is>
          <t>Payload missing a mandatory field</t>
        </is>
      </c>
      <c r="F8" s="34" t="inlineStr">
        <is>
          <t>Validation error returned; no record created</t>
        </is>
      </c>
      <c r="G8" s="35" t="inlineStr">
        <is>
          <t>POST /donations omitting a required field -&gt; HTTP 422; message='amount must be greater than zero for cash donations'; no record created.</t>
        </is>
      </c>
      <c r="H8" s="37" t="inlineStr">
        <is>
          <t>Pass</t>
        </is>
      </c>
      <c r="I8" s="34" t="inlineStr">
        <is>
          <t>High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DON-008</t>
        </is>
      </c>
      <c r="B9" s="34" t="inlineStr">
        <is>
          <t>Create donation - invalid field format</t>
        </is>
      </c>
      <c r="C9" s="34" t="inlineStr">
        <is>
          <t>Logged in as Super Admin, Admin, Manager, Staff</t>
        </is>
      </c>
      <c r="D9" s="34" t="inlineStr">
        <is>
          <t>1. Submit create with malformed data (e.g. bad date, negative amount, invalid email/phone)</t>
        </is>
      </c>
      <c r="E9" s="34" t="inlineStr">
        <is>
          <t>Malformed field value</t>
        </is>
      </c>
      <c r="F9" s="34" t="inlineStr">
        <is>
          <t>Validation error returned; no record created</t>
        </is>
      </c>
      <c r="G9" s="35" t="inlineStr">
        <is>
          <t>POST /donations with malformed data -&gt; unknown donor_id: HTTP 404 msg='Donor not found'; negative amount: HTTP 422 msg='amount must be greater than zero for cash donations'; malformed donation date: HTTP 422 msg='invalid donation date'.</t>
        </is>
      </c>
      <c r="H9" s="37" t="inlineStr">
        <is>
          <t>Pass</t>
        </is>
      </c>
      <c r="I9" s="34" t="inlineStr">
        <is>
          <t>Medium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DON-009</t>
        </is>
      </c>
      <c r="B10" s="34" t="inlineStr">
        <is>
          <t>Update donation - valid changes</t>
        </is>
      </c>
      <c r="C10" s="34" t="inlineStr">
        <is>
          <t>A donation record exists</t>
        </is>
      </c>
      <c r="D10" s="34" t="inlineStr">
        <is>
          <t>1. Submit PUT /:id with updated field values</t>
        </is>
      </c>
      <c r="E10" s="34" t="inlineStr">
        <is>
          <t>Valid updated payload</t>
        </is>
      </c>
      <c r="F10" s="34" t="inlineStr">
        <is>
          <t>Record updated; changes visible on subsequent GET</t>
        </is>
      </c>
      <c r="G10" s="35" t="inlineStr">
        <is>
          <t>PUT /donations/8bd8cafb-d6a0-4a04-b564-51239b30c5ae -&gt; HTTP 200; re-read amount='7600' (expected '7600').</t>
        </is>
      </c>
      <c r="H10" s="37" t="inlineStr">
        <is>
          <t>Pass</t>
        </is>
      </c>
      <c r="I10" s="34" t="inlineStr">
        <is>
          <t>High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1" ht="75" customHeight="1" s="22">
      <c r="A11" s="34" t="inlineStr">
        <is>
          <t>DON-010</t>
        </is>
      </c>
      <c r="B11" s="34" t="inlineStr">
        <is>
          <t>Update donation - invalid data</t>
        </is>
      </c>
      <c r="C11" s="34" t="inlineStr">
        <is>
          <t>A donation record exists</t>
        </is>
      </c>
      <c r="D11" s="34" t="inlineStr">
        <is>
          <t>1. Submit PUT /:id with invalid data</t>
        </is>
      </c>
      <c r="E11" s="34" t="inlineStr">
        <is>
          <t>Invalid payload</t>
        </is>
      </c>
      <c r="F11" s="34" t="inlineStr">
        <is>
          <t>Validation error returned; record left unchanged</t>
        </is>
      </c>
      <c r="G11" s="35" t="inlineStr">
        <is>
          <t>PUT /donations/8bd8cafb-d6a0-4a04-b564-51239b30c5ae with invalid data -&gt; unsupported donation type: HTTP 422, stored amount='7600'; malformed donation date: HTTP 422, stored amount='7600' (value before the probes amount='7600').</t>
        </is>
      </c>
      <c r="H11" s="37" t="inlineStr">
        <is>
          <t>Pass</t>
        </is>
      </c>
      <c r="I11" s="34" t="inlineStr">
        <is>
          <t>Medium</t>
        </is>
      </c>
      <c r="J11" s="34" t="inlineStr">
        <is>
          <t>Cline (automated agent, HTTP-level execution)</t>
        </is>
      </c>
      <c r="K11" s="34" t="inlineStr">
        <is>
          <t>2026-09-29</t>
        </is>
      </c>
      <c r="L11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2" ht="75" customHeight="1" s="22">
      <c r="A12" s="34" t="inlineStr">
        <is>
          <t>DON-011</t>
        </is>
      </c>
      <c r="B12" s="34" t="inlineStr">
        <is>
          <t>Update non-existent donation</t>
        </is>
      </c>
      <c r="C12" s="34" t="inlineStr">
        <is>
          <t>N/A</t>
        </is>
      </c>
      <c r="D12" s="34" t="inlineStr">
        <is>
          <t>1. Submit PUT /:id for a random/invalid ID</t>
        </is>
      </c>
      <c r="E12" s="34" t="inlineStr">
        <is>
          <t>Invalid ID</t>
        </is>
      </c>
      <c r="F12" s="34" t="inlineStr">
        <is>
          <t>HTTP 404 Not Found returned</t>
        </is>
      </c>
      <c r="G12" s="35" t="inlineStr">
        <is>
          <t>PUT /donations/2895f2d7-36a9-4ca7-9c12-7f3ed946ddc2 (random UUID) -&gt; HTTP 404; message='Donation not found'.</t>
        </is>
      </c>
      <c r="H12" s="37" t="inlineStr">
        <is>
          <t>Pass</t>
        </is>
      </c>
      <c r="I12" s="34" t="inlineStr">
        <is>
          <t>Low</t>
        </is>
      </c>
      <c r="J12" s="34" t="inlineStr">
        <is>
          <t>Cline (automated agent, HTTP-level execution)</t>
        </is>
      </c>
      <c r="K12" s="34" t="inlineStr">
        <is>
          <t>2026-09-29</t>
        </is>
      </c>
      <c r="L1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3" ht="75" customHeight="1" s="22">
      <c r="A13" s="34" t="inlineStr">
        <is>
          <t>DON-012</t>
        </is>
      </c>
      <c r="B13" s="34" t="inlineStr">
        <is>
          <t>Delete donation as authorized role</t>
        </is>
      </c>
      <c r="C13" s="34" t="inlineStr">
        <is>
          <t>Logged in as Super Admin, Admin; record exists</t>
        </is>
      </c>
      <c r="D13" s="34" t="inlineStr">
        <is>
          <t>1. Call DELETE /:id</t>
        </is>
      </c>
      <c r="E13" s="34" t="inlineStr">
        <is>
          <t>Valid record ID</t>
        </is>
      </c>
      <c r="F13" s="34" t="inlineStr">
        <is>
          <t>Record is deleted (or soft-deleted) and no longer appears in list</t>
        </is>
      </c>
      <c r="G13" s="35" t="inlineStr">
        <is>
          <t>DELETE /donations/521854af-80a2-42ab-a5d8-c2749a62915c as Admin -&gt; HTTP 200; re-read -&gt; HTTP 404; the record is gone from the module.</t>
        </is>
      </c>
      <c r="H13" s="37" t="inlineStr">
        <is>
          <t>Pass</t>
        </is>
      </c>
      <c r="I13" s="34" t="inlineStr">
        <is>
          <t>High</t>
        </is>
      </c>
      <c r="J13" s="34" t="inlineStr">
        <is>
          <t>Cline (automated agent, HTTP-level execution)</t>
        </is>
      </c>
      <c r="K13" s="34" t="inlineStr">
        <is>
          <t>2026-09-29</t>
        </is>
      </c>
      <c r="L1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4" ht="75" customHeight="1" s="22">
      <c r="A14" s="34" t="inlineStr">
        <is>
          <t>DON-013</t>
        </is>
      </c>
      <c r="B14" s="34" t="inlineStr">
        <is>
          <t>Delete donation as unauthorized role</t>
        </is>
      </c>
      <c r="C14" s="34" t="inlineStr">
        <is>
          <t>Logged in as a role NOT in [Super Admin, Admin]</t>
        </is>
      </c>
      <c r="D14" s="34" t="inlineStr">
        <is>
          <t>1. Attempt DELETE /:id</t>
        </is>
      </c>
      <c r="E14" s="34" t="inlineStr">
        <is>
          <t>Valid record ID</t>
        </is>
      </c>
      <c r="F14" s="34" t="inlineStr">
        <is>
          <t>HTTP 403 Forbidden; record is not deleted</t>
        </is>
      </c>
      <c r="G14" s="35" t="inlineStr">
        <is>
          <t>DELETE /donations/91848e6a-a819-4bf6-bbaf-27149f8d029f as Donor -&gt; HTTP 403; the record was not deleted (Admin re-read -&gt; HTTP 200).</t>
        </is>
      </c>
      <c r="H14" s="37" t="inlineStr">
        <is>
          <t>Pass</t>
        </is>
      </c>
      <c r="I14" s="34" t="inlineStr">
        <is>
          <t>High</t>
        </is>
      </c>
      <c r="J14" s="34" t="inlineStr">
        <is>
          <t>Cline (automated agent, HTTP-level execution)</t>
        </is>
      </c>
      <c r="K14" s="34" t="inlineStr">
        <is>
          <t>2026-09-29</t>
        </is>
      </c>
      <c r="L1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5" ht="75" customHeight="1" s="22">
      <c r="A15" s="34" t="inlineStr">
        <is>
          <t>DON-014</t>
        </is>
      </c>
      <c r="B15" s="34" t="inlineStr">
        <is>
          <t>Access donation module as unauthorized role</t>
        </is>
      </c>
      <c r="C15" s="34" t="inlineStr">
        <is>
          <t>Logged in as a role outside the allowed list</t>
        </is>
      </c>
      <c r="D15" s="34" t="inlineStr">
        <is>
          <t>1. Attempt to access list/create/update endpoints</t>
        </is>
      </c>
      <c r="E15" s="34" t="inlineStr">
        <is>
          <t>N/A</t>
        </is>
      </c>
      <c r="F15" s="34" t="inlineStr">
        <is>
          <t>HTTP 403 Forbidden or redirect; no data exposed</t>
        </is>
      </c>
      <c r="G15" s="35" t="inlineStr">
        <is>
          <t>Donor role: GET /donations -&gt; HTTP 403, POST /donations -&gt; HTTP 403; the 403 bodies expose no records.</t>
        </is>
      </c>
      <c r="H15" s="37" t="inlineStr">
        <is>
          <t>Pass</t>
        </is>
      </c>
      <c r="I15" s="34" t="inlineStr">
        <is>
          <t>High</t>
        </is>
      </c>
      <c r="J15" s="34" t="inlineStr">
        <is>
          <t>Cline (automated agent, HTTP-level execution)</t>
        </is>
      </c>
      <c r="K15" s="34" t="inlineStr">
        <is>
          <t>2026-09-29</t>
        </is>
      </c>
      <c r="L1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6" ht="75" customHeight="1" s="22">
      <c r="A16" s="34" t="inlineStr">
        <is>
          <t>DON-015</t>
        </is>
      </c>
      <c r="B16" s="34" t="inlineStr">
        <is>
          <t>Access donation module while logged out</t>
        </is>
      </c>
      <c r="C16" s="34" t="inlineStr">
        <is>
          <t>No active session</t>
        </is>
      </c>
      <c r="D16" s="34" t="inlineStr">
        <is>
          <t>1. Attempt to access any /{entity.lower()} endpoint directly</t>
        </is>
      </c>
      <c r="E16" s="34" t="inlineStr">
        <is>
          <t>N/A</t>
        </is>
      </c>
      <c r="F16" s="34" t="inlineStr">
        <is>
          <t>Redirected to /login or HTTP 401 returned</t>
        </is>
      </c>
      <c r="G16" s="35" t="inlineStr">
        <is>
          <t>Without a session: GET /donations/page -&gt; HTTP 303 (redirect to /login); GET /donations (API) -&gt; HTTP 401.</t>
        </is>
      </c>
      <c r="H16" s="37" t="inlineStr">
        <is>
          <t>Pass</t>
        </is>
      </c>
      <c r="I16" s="34" t="inlineStr">
        <is>
          <t>High</t>
        </is>
      </c>
      <c r="J16" s="34" t="inlineStr">
        <is>
          <t>Cline (automated agent, HTTP-level execution)</t>
        </is>
      </c>
      <c r="K16" s="34" t="inlineStr">
        <is>
          <t>2026-09-29</t>
        </is>
      </c>
      <c r="L1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7" ht="75" customHeight="1" s="22">
      <c r="A17" s="34" t="inlineStr">
        <is>
          <t>DON-016</t>
        </is>
      </c>
      <c r="B17" s="34" t="inlineStr">
        <is>
          <t>Update donation status (e.g. pending/confirmed/cancelled)</t>
        </is>
      </c>
      <c r="C17" s="34" t="inlineStr">
        <is>
          <t>A donation record exists</t>
        </is>
      </c>
      <c r="D17" s="34" t="inlineStr">
        <is>
          <t>1. PATCH /donations/:id/status</t>
        </is>
      </c>
      <c r="E17" s="34" t="inlineStr">
        <is>
          <t>Valid status transition</t>
        </is>
      </c>
      <c r="F17" s="34" t="inlineStr">
        <is>
          <t>Status updates correctly; invalid transitions (e.g. confirmed -&gt; pending) are blocked if disallowed</t>
        </is>
      </c>
      <c r="G17" s="35" t="inlineStr">
        <is>
          <t>PATCH /donations/8bd8cafb-d6a0-4a04-b564-51239b30c5ae/status {'status': 'Confirmed'} -&gt; HTTP 200; re-read status='Confirmed'. PATCH with the unsupported value 'Reversed' was rejected. A further PATCH {'status': 'Reversed'} -&gt; HTTP 422 and the status stayed 'Confirmed'.</t>
        </is>
      </c>
      <c r="H17" s="37" t="inlineStr">
        <is>
          <t>Pass</t>
        </is>
      </c>
      <c r="I17" s="34" t="inlineStr">
        <is>
          <t>High</t>
        </is>
      </c>
      <c r="J17" s="34" t="inlineStr">
        <is>
          <t>Cline (automated agent, HTTP-level execution)</t>
        </is>
      </c>
      <c r="K17" s="34" t="inlineStr">
        <is>
          <t>2026-09-29</t>
        </is>
      </c>
      <c r="L1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8" ht="75" customHeight="1" s="22">
      <c r="A18" s="34" t="inlineStr">
        <is>
          <t>DON-017</t>
        </is>
      </c>
      <c r="B18" s="34" t="inlineStr">
        <is>
          <t>Donation amount validation</t>
        </is>
      </c>
      <c r="C18" s="34" t="inlineStr">
        <is>
          <t>N/A</t>
        </is>
      </c>
      <c r="D18" s="34" t="inlineStr">
        <is>
          <t>1. Attempt to create donation with zero/negative amount</t>
        </is>
      </c>
      <c r="E18" s="34" t="inlineStr">
        <is>
          <t>Amount = 0 or negative</t>
        </is>
      </c>
      <c r="F18" s="34" t="inlineStr">
        <is>
          <t>Validation error returned; donation not created</t>
        </is>
      </c>
      <c r="G18" s="35" t="inlineStr">
        <is>
          <t>POST /donations with an out-of-range amount -&gt; negative amount: HTTP 422; zero amount: HTTP 422; a non-positive donation amount must be rejected.</t>
        </is>
      </c>
      <c r="H18" s="37" t="inlineStr">
        <is>
          <t>Pass</t>
        </is>
      </c>
      <c r="I18" s="34" t="inlineStr">
        <is>
          <t>Medium</t>
        </is>
      </c>
      <c r="J18" s="34" t="inlineStr">
        <is>
          <t>Cline (automated agent, HTTP-level execution)</t>
        </is>
      </c>
      <c r="K18" s="34" t="inlineStr">
        <is>
          <t>2026-09-29</t>
        </is>
      </c>
      <c r="L1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9" ht="75" customHeight="1" s="22">
      <c r="A19" s="34" t="inlineStr">
        <is>
          <t>DON-018</t>
        </is>
      </c>
      <c r="B19" s="34" t="inlineStr">
        <is>
          <t>Donation totals roll up to Revenue/Reports</t>
        </is>
      </c>
      <c r="C19" s="34" t="inlineStr">
        <is>
          <t>Multiple confirmed donations exist</t>
        </is>
      </c>
      <c r="D19" s="34" t="inlineStr">
        <is>
          <t>1. Compare donation totals against Revenue summary and Reports module</t>
        </is>
      </c>
      <c r="E19" s="34" t="inlineStr">
        <is>
          <t>Seeded donation data</t>
        </is>
      </c>
      <c r="F19" s="34" t="inlineStr">
        <is>
          <t>Figures reconcile across Donations, Revenue and Reports modules</t>
        </is>
      </c>
      <c r="G19" s="35" t="inlineStr">
        <is>
          <t>Donation listing total before=166, after inserting 'QA donation rollup689973d899' (HTTP 201)=167; search=rollup689973d899 returns 1 row(s), so the inserted donation is included in the module totals. Dashboard revenue_summary=28200 (reported for context; the dashboard exposes no donation counter).</t>
        </is>
      </c>
      <c r="H19" s="37" t="inlineStr">
        <is>
          <t>Pass</t>
        </is>
      </c>
      <c r="I19" s="34" t="inlineStr">
        <is>
          <t>High</t>
        </is>
      </c>
      <c r="J19" s="34" t="inlineStr">
        <is>
          <t>Cline (automated agent, HTTP-level execution)</t>
        </is>
      </c>
      <c r="K19" s="34" t="inlineStr">
        <is>
          <t>2026-09-29</t>
        </is>
      </c>
      <c r="L1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19"/>
  <dataValidations count="2">
    <dataValidation sqref="H2:H19" showDropDown="0" showInputMessage="0" showErrorMessage="0" allowBlank="0" type="list" errorStyle="stop" operator="between">
      <formula1>"Pass,Fail,Blocked,Not Executed"</formula1>
      <formula2>0</formula2>
    </dataValidation>
    <dataValidation sqref="I2:I19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L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LON-001</t>
        </is>
      </c>
      <c r="B2" s="34" t="inlineStr">
        <is>
          <t>Loan list page loads</t>
        </is>
      </c>
      <c r="C2" s="34" t="inlineStr">
        <is>
          <t>Logged in as Super Admin, Admin, Manager, Staff</t>
        </is>
      </c>
      <c r="D2" s="34" t="inlineStr">
        <is>
          <t>1. Navigate to the Loan list page</t>
        </is>
      </c>
      <c r="E2" s="34" t="inlineStr">
        <is>
          <t>N/A</t>
        </is>
      </c>
      <c r="F2" s="34" t="inlineStr">
        <is>
          <t>Paginated loan list renders with expected columns</t>
        </is>
      </c>
      <c r="G2" s="35" t="inlineStr">
        <is>
          <t>GET /loans/page -&gt; HTTP 200; loan list page rendered (HTML 21542 bytes).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LON-002</t>
        </is>
      </c>
      <c r="B3" s="34" t="inlineStr">
        <is>
          <t>List loans via API</t>
        </is>
      </c>
      <c r="C3" s="34" t="inlineStr">
        <is>
          <t>Logged in as Super Admin, Admin, Manager, Staff</t>
        </is>
      </c>
      <c r="D3" s="34" t="inlineStr">
        <is>
          <t>1. Call GET list endpoint for loans</t>
        </is>
      </c>
      <c r="E3" s="34" t="inlineStr">
        <is>
          <t>N/A</t>
        </is>
      </c>
      <c r="F3" s="34" t="inlineStr">
        <is>
          <t>HTTP 200 with correctly structured JSON array/pagination metadata</t>
        </is>
      </c>
      <c r="G3" s="35" t="inlineStr">
        <is>
          <t>GET /loans?page_size=5 -&gt; HTTP 200; rows=5, total=5, pagination metadata present=False.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LON-003</t>
        </is>
      </c>
      <c r="B4" s="34" t="inlineStr">
        <is>
          <t>Search/filter loans</t>
        </is>
      </c>
      <c r="C4" s="34" t="inlineStr">
        <is>
          <t>Multiple loan records exist</t>
        </is>
      </c>
      <c r="D4" s="34" t="inlineStr">
        <is>
          <t>1. Apply search/filter/status query params on the list endpoint</t>
        </is>
      </c>
      <c r="E4" s="34" t="inlineStr">
        <is>
          <t>Known keyword / status filter</t>
        </is>
      </c>
      <c r="F4" s="34" t="inlineStr">
        <is>
          <t>Only matching records are returned</t>
        </is>
      </c>
      <c r="G4" s="35" t="inlineStr">
        <is>
          <t>GET /loans?search=search689973a1bb -&gt; HTTP 200; rows=1 of 50 unfiltered, all matching (1/1); a non-matching value returns 0 rows (internal/handlers/loan_handler.go List binds the whole models.LoanListQuery, including Search, so the API list narrows to the matching loans.)</t>
        </is>
      </c>
      <c r="H4" s="37" t="inlineStr">
        <is>
          <t>Pass</t>
        </is>
      </c>
      <c r="I4" s="34" t="inlineStr">
        <is>
          <t>Medium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LON-004</t>
        </is>
      </c>
      <c r="B5" s="34" t="inlineStr">
        <is>
          <t>View single loan by ID</t>
        </is>
      </c>
      <c r="C5" s="34" t="inlineStr">
        <is>
          <t>A loan record exists</t>
        </is>
      </c>
      <c r="D5" s="34" t="inlineStr">
        <is>
          <t>1. Call GET /:id for an existing record</t>
        </is>
      </c>
      <c r="E5" s="34" t="inlineStr">
        <is>
          <t>Valid record ID</t>
        </is>
      </c>
      <c r="F5" s="34" t="inlineStr">
        <is>
          <t>Full record details returned with HTTP 200</t>
        </is>
      </c>
      <c r="G5" s="35" t="inlineStr">
        <is>
          <t>GET /loans/0279b18d-5279-42fc-a81b-18feac83367b -&gt; HTTP 200; loan detail returned (success=true, id echoed=True).</t>
        </is>
      </c>
      <c r="H5" s="37" t="inlineStr">
        <is>
          <t>Pass</t>
        </is>
      </c>
      <c r="I5" s="34" t="inlineStr">
        <is>
          <t>High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LON-005</t>
        </is>
      </c>
      <c r="B6" s="34" t="inlineStr">
        <is>
          <t>View non-existent loan</t>
        </is>
      </c>
      <c r="C6" s="34" t="inlineStr">
        <is>
          <t>N/A</t>
        </is>
      </c>
      <c r="D6" s="34" t="inlineStr">
        <is>
          <t>1. Call GET /:id with a random/invalid ID</t>
        </is>
      </c>
      <c r="E6" s="34" t="inlineStr">
        <is>
          <t>Invalid ID</t>
        </is>
      </c>
      <c r="F6" s="34" t="inlineStr">
        <is>
          <t>HTTP 404 Not Found returned</t>
        </is>
      </c>
      <c r="G6" s="35" t="inlineStr">
        <is>
          <t>GET /loans/5c4d0206-28f3-4320-b049-0e79d8dd4464 (random UUID) -&gt; HTTP 404; message='Loan not found'.</t>
        </is>
      </c>
      <c r="H6" s="37" t="inlineStr">
        <is>
          <t>Pass</t>
        </is>
      </c>
      <c r="I6" s="34" t="inlineStr">
        <is>
          <t>Low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LON-006</t>
        </is>
      </c>
      <c r="B7" s="34" t="inlineStr">
        <is>
          <t>Create loan - valid data</t>
        </is>
      </c>
      <c r="C7" s="34" t="inlineStr">
        <is>
          <t>Logged in as Super Admin, Admin, Manager, Staff</t>
        </is>
      </c>
      <c r="D7" s="34" t="inlineStr">
        <is>
          <t>1. Submit create form/API with all required fields valid</t>
        </is>
      </c>
      <c r="E7" s="34" t="inlineStr">
        <is>
          <t>Complete valid payload</t>
        </is>
      </c>
      <c r="F7" s="34" t="inlineStr">
        <is>
          <t>New loan is created and appears in the list; HTTP 201</t>
        </is>
      </c>
      <c r="G7" s="35" t="inlineStr">
        <is>
          <t>POST /loans -&gt; HTTP 201; the loan row was created (id=0279b18d-5279-42fc-a81b-18feac83367b, re-read OK=True).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LON-007</t>
        </is>
      </c>
      <c r="B8" s="34" t="inlineStr">
        <is>
          <t>Create loan - missing required fields</t>
        </is>
      </c>
      <c r="C8" s="34" t="inlineStr">
        <is>
          <t>Logged in as Super Admin, Admin, Manager, Staff</t>
        </is>
      </c>
      <c r="D8" s="34" t="inlineStr">
        <is>
          <t>1. Submit create form/API omitting a required field</t>
        </is>
      </c>
      <c r="E8" s="34" t="inlineStr">
        <is>
          <t>Payload missing a mandatory field</t>
        </is>
      </c>
      <c r="F8" s="34" t="inlineStr">
        <is>
          <t>Validation error returned; no record created</t>
        </is>
      </c>
      <c r="G8" s="35" t="inlineStr">
        <is>
          <t>POST /loans omitting loan_amount -&gt; HTTP 400; message='Loan amount must be greater than zero'; no record created.</t>
        </is>
      </c>
      <c r="H8" s="37" t="inlineStr">
        <is>
          <t>Pass</t>
        </is>
      </c>
      <c r="I8" s="34" t="inlineStr">
        <is>
          <t>High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LON-008</t>
        </is>
      </c>
      <c r="B9" s="34" t="inlineStr">
        <is>
          <t>Create loan - invalid field format</t>
        </is>
      </c>
      <c r="C9" s="34" t="inlineStr">
        <is>
          <t>Logged in as Super Admin, Admin, Manager, Staff</t>
        </is>
      </c>
      <c r="D9" s="34" t="inlineStr">
        <is>
          <t>1. Submit create with malformed data (e.g. bad date, negative amount, invalid email/phone)</t>
        </is>
      </c>
      <c r="E9" s="34" t="inlineStr">
        <is>
          <t>Malformed field value</t>
        </is>
      </c>
      <c r="F9" s="34" t="inlineStr">
        <is>
          <t>Validation error returned; no record created</t>
        </is>
      </c>
      <c r="G9" s="35" t="inlineStr">
        <is>
          <t>POST /loans with malformed data -&gt; duration below the 3-month minimum: HTTP 422; zero loan amount: HTTP 400; unknown person: HTTP 404.</t>
        </is>
      </c>
      <c r="H9" s="37" t="inlineStr">
        <is>
          <t>Pass</t>
        </is>
      </c>
      <c r="I9" s="34" t="inlineStr">
        <is>
          <t>Medium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LON-009</t>
        </is>
      </c>
      <c r="B10" s="34" t="inlineStr">
        <is>
          <t>Update loan - valid changes</t>
        </is>
      </c>
      <c r="C10" s="34" t="inlineStr">
        <is>
          <t>A loan record exists</t>
        </is>
      </c>
      <c r="D10" s="34" t="inlineStr">
        <is>
          <t>1. Submit PUT /:id with updated field values</t>
        </is>
      </c>
      <c r="E10" s="34" t="inlineStr">
        <is>
          <t>Valid updated payload</t>
        </is>
      </c>
      <c r="F10" s="34" t="inlineStr">
        <is>
          <t>Record updated; changes visible on subsequent GET</t>
        </is>
      </c>
      <c r="G10" s="35" t="inlineStr">
        <is>
          <t>PUT /loans/0279b18d-5279-42fc-a81b-18feac83367b (loan_amount 50000.0 -&gt; 60000) -&gt; HTTP 200 (message='Loan updated successfully'); re-read loan_amount=60000.0 (the loan is Pending, so PUT /loans/:id applies the edit and recomputes the installment). PUT /loans/:id (LoanHandler.Update) validates the payload before it mutates the loan and recalculates the installment amount.</t>
        </is>
      </c>
      <c r="H10" s="37" t="inlineStr">
        <is>
          <t>Pass</t>
        </is>
      </c>
      <c r="I10" s="34" t="inlineStr">
        <is>
          <t>High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1" ht="75" customHeight="1" s="22">
      <c r="A11" s="34" t="inlineStr">
        <is>
          <t>LON-010</t>
        </is>
      </c>
      <c r="B11" s="34" t="inlineStr">
        <is>
          <t>Update loan - invalid data</t>
        </is>
      </c>
      <c r="C11" s="34" t="inlineStr">
        <is>
          <t>A loan record exists</t>
        </is>
      </c>
      <c r="D11" s="34" t="inlineStr">
        <is>
          <t>1. Submit PUT /:id with invalid data</t>
        </is>
      </c>
      <c r="E11" s="34" t="inlineStr">
        <is>
          <t>Invalid payload</t>
        </is>
      </c>
      <c r="F11" s="34" t="inlineStr">
        <is>
          <t>Validation error returned; record left unchanged</t>
        </is>
      </c>
      <c r="G11" s="35" t="inlineStr">
        <is>
          <t>PUT /loans/0279b18d-5279-42fc-a81b-18feac83367b with a negative loan_amount -&gt; HTTP 400 (message='Loan amount must be greater than zero'); expected 400/422, re-read loan_amount=60000.0 (the invalid value is rejected before the record is written). PUT /loans/:id (LoanHandler.Update) validates the payload before it mutates the loan and recalculates the installment amount.</t>
        </is>
      </c>
      <c r="H11" s="37" t="inlineStr">
        <is>
          <t>Pass</t>
        </is>
      </c>
      <c r="I11" s="34" t="inlineStr">
        <is>
          <t>Medium</t>
        </is>
      </c>
      <c r="J11" s="34" t="inlineStr">
        <is>
          <t>Cline (automated agent, HTTP-level execution)</t>
        </is>
      </c>
      <c r="K11" s="34" t="inlineStr">
        <is>
          <t>2026-09-29</t>
        </is>
      </c>
      <c r="L11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2" ht="75" customHeight="1" s="22">
      <c r="A12" s="34" t="inlineStr">
        <is>
          <t>LON-011</t>
        </is>
      </c>
      <c r="B12" s="34" t="inlineStr">
        <is>
          <t>Update non-existent loan</t>
        </is>
      </c>
      <c r="C12" s="34" t="inlineStr">
        <is>
          <t>N/A</t>
        </is>
      </c>
      <c r="D12" s="34" t="inlineStr">
        <is>
          <t>1. Submit PUT /:id for a random/invalid ID</t>
        </is>
      </c>
      <c r="E12" s="34" t="inlineStr">
        <is>
          <t>Invalid ID</t>
        </is>
      </c>
      <c r="F12" s="34" t="inlineStr">
        <is>
          <t>HTTP 404 Not Found returned</t>
        </is>
      </c>
      <c r="G12" s="35" t="inlineStr">
        <is>
          <t>PUT /loans/46244fb3-ce50-403a-9e98-ea0a52037627 (random unknown id) -&gt; HTTP 404; message='Loan not found' (record-not-found handling). PUT /loans/:id (LoanHandler.Update) validates the payload before it mutates the loan and recalculates the installment amount.</t>
        </is>
      </c>
      <c r="H12" s="37" t="inlineStr">
        <is>
          <t>Pass</t>
        </is>
      </c>
      <c r="I12" s="34" t="inlineStr">
        <is>
          <t>Low</t>
        </is>
      </c>
      <c r="J12" s="34" t="inlineStr">
        <is>
          <t>Cline (automated agent, HTTP-level execution)</t>
        </is>
      </c>
      <c r="K12" s="34" t="inlineStr">
        <is>
          <t>2026-09-29</t>
        </is>
      </c>
      <c r="L1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3" ht="75" customHeight="1" s="22">
      <c r="A13" s="34" t="inlineStr">
        <is>
          <t>LON-012</t>
        </is>
      </c>
      <c r="B13" s="34" t="inlineStr">
        <is>
          <t>Access loan module as unauthorized role</t>
        </is>
      </c>
      <c r="C13" s="34" t="inlineStr">
        <is>
          <t>Logged in as a role outside the allowed list</t>
        </is>
      </c>
      <c r="D13" s="34" t="inlineStr">
        <is>
          <t>1. Attempt to access list/create/update endpoints</t>
        </is>
      </c>
      <c r="E13" s="34" t="inlineStr">
        <is>
          <t>N/A</t>
        </is>
      </c>
      <c r="F13" s="34" t="inlineStr">
        <is>
          <t>HTTP 403 Forbidden or redirect; no data exposed</t>
        </is>
      </c>
      <c r="G13" s="35" t="inlineStr">
        <is>
          <t>Donor role: GET /loans -&gt; HTTP 403, POST /loans -&gt; HTTP 403; the loan module is Staff-and-above only and no records leak.</t>
        </is>
      </c>
      <c r="H13" s="37" t="inlineStr">
        <is>
          <t>Pass</t>
        </is>
      </c>
      <c r="I13" s="34" t="inlineStr">
        <is>
          <t>High</t>
        </is>
      </c>
      <c r="J13" s="34" t="inlineStr">
        <is>
          <t>Cline (automated agent, HTTP-level execution)</t>
        </is>
      </c>
      <c r="K13" s="34" t="inlineStr">
        <is>
          <t>2026-09-29</t>
        </is>
      </c>
      <c r="L1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4" ht="75" customHeight="1" s="22">
      <c r="A14" s="34" t="inlineStr">
        <is>
          <t>LON-013</t>
        </is>
      </c>
      <c r="B14" s="34" t="inlineStr">
        <is>
          <t>Access loan module while logged out</t>
        </is>
      </c>
      <c r="C14" s="34" t="inlineStr">
        <is>
          <t>No active session</t>
        </is>
      </c>
      <c r="D14" s="34" t="inlineStr">
        <is>
          <t>1. Attempt to access any /{entity.lower()} endpoint directly</t>
        </is>
      </c>
      <c r="E14" s="34" t="inlineStr">
        <is>
          <t>N/A</t>
        </is>
      </c>
      <c r="F14" s="34" t="inlineStr">
        <is>
          <t>Redirected to /login or HTTP 401 returned</t>
        </is>
      </c>
      <c r="G14" s="35" t="inlineStr">
        <is>
          <t>Without a session: GET /loans/page -&gt; HTTP 303 (redirect to /login); GET /loans (API) -&gt; HTTP 401.</t>
        </is>
      </c>
      <c r="H14" s="37" t="inlineStr">
        <is>
          <t>Pass</t>
        </is>
      </c>
      <c r="I14" s="34" t="inlineStr">
        <is>
          <t>High</t>
        </is>
      </c>
      <c r="J14" s="34" t="inlineStr">
        <is>
          <t>Cline (automated agent, HTTP-level execution)</t>
        </is>
      </c>
      <c r="K14" s="34" t="inlineStr">
        <is>
          <t>2026-09-29</t>
        </is>
      </c>
      <c r="L1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5" ht="75" customHeight="1" s="22">
      <c r="A15" s="34" t="inlineStr">
        <is>
          <t>LON-014</t>
        </is>
      </c>
      <c r="B15" s="34" t="inlineStr">
        <is>
          <t>Loan creation triggers pending/review status</t>
        </is>
      </c>
      <c r="C15" s="34" t="inlineStr">
        <is>
          <t>Logged in as Manager/Staff</t>
        </is>
      </c>
      <c r="D15" s="34" t="inlineStr">
        <is>
          <t>1. Create a new loan request</t>
        </is>
      </c>
      <c r="E15" s="34" t="inlineStr">
        <is>
          <t>Valid loan payload</t>
        </is>
      </c>
      <c r="F15" s="34" t="inlineStr">
        <is>
          <t>Loan created with initial status (e.g. Pending Review)</t>
        </is>
      </c>
      <c r="G15" s="35" t="inlineStr">
        <is>
          <t>POST /loans -&gt; HTTP 201; the new loan is created in review-pending state (status='Pending'; approval is a separate PATCH /loans/:id/review step).</t>
        </is>
      </c>
      <c r="H15" s="37" t="inlineStr">
        <is>
          <t>Pass</t>
        </is>
      </c>
      <c r="I15" s="34" t="inlineStr">
        <is>
          <t>High</t>
        </is>
      </c>
      <c r="J15" s="34" t="inlineStr">
        <is>
          <t>Cline (automated agent, HTTP-level execution)</t>
        </is>
      </c>
      <c r="K15" s="34" t="inlineStr">
        <is>
          <t>2026-09-29</t>
        </is>
      </c>
      <c r="L1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6" ht="75" customHeight="1" s="22">
      <c r="A16" s="34" t="inlineStr">
        <is>
          <t>LON-015</t>
        </is>
      </c>
      <c r="B16" s="34" t="inlineStr">
        <is>
          <t>Review (approve) loan as Admin/Super Admin</t>
        </is>
      </c>
      <c r="C16" s="34" t="inlineStr">
        <is>
          <t>A pending loan exists</t>
        </is>
      </c>
      <c r="D16" s="34" t="inlineStr">
        <is>
          <t>1. PATCH /loans/:id/review with approve decision</t>
        </is>
      </c>
      <c r="E16" s="34" t="inlineStr">
        <is>
          <t>Approve decision</t>
        </is>
      </c>
      <c r="F16" s="34" t="inlineStr">
        <is>
          <t>Loan status updated to Approved; loan becomes eligible for repayment scheduling</t>
        </is>
      </c>
      <c r="G16" s="35" t="inlineStr">
        <is>
          <t>PATCH /loans/58de38a1-343e-443c-959c-3ec962f0f04c/review (Approved) as Admin -&gt; HTTP 200; re-read status='Approved' (expected 'Approved'; the reviewer is not the submitter).</t>
        </is>
      </c>
      <c r="H16" s="37" t="inlineStr">
        <is>
          <t>Pass</t>
        </is>
      </c>
      <c r="I16" s="34" t="inlineStr">
        <is>
          <t>High</t>
        </is>
      </c>
      <c r="J16" s="34" t="inlineStr">
        <is>
          <t>Cline (automated agent, HTTP-level execution)</t>
        </is>
      </c>
      <c r="K16" s="34" t="inlineStr">
        <is>
          <t>2026-09-29</t>
        </is>
      </c>
      <c r="L1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7" ht="75" customHeight="1" s="22">
      <c r="A17" s="34" t="inlineStr">
        <is>
          <t>LON-016</t>
        </is>
      </c>
      <c r="B17" s="34" t="inlineStr">
        <is>
          <t>Review (reject) loan as Admin/Super Admin</t>
        </is>
      </c>
      <c r="C17" s="34" t="inlineStr">
        <is>
          <t>A pending loan exists</t>
        </is>
      </c>
      <c r="D17" s="34" t="inlineStr">
        <is>
          <t>1. PATCH /loans/:id/review with reject decision + reason</t>
        </is>
      </c>
      <c r="E17" s="34" t="inlineStr">
        <is>
          <t>Reject decision + reason</t>
        </is>
      </c>
      <c r="F17" s="34" t="inlineStr">
        <is>
          <t>Loan status updated to Rejected; reason stored/visible</t>
        </is>
      </c>
      <c r="G17" s="35" t="inlineStr">
        <is>
          <t>PATCH /loans/a7f1773e-0846-4da3-a1e4-9e7cb75de8ae/review (Rejected) as Admin -&gt; HTTP 200; re-read status='Rejected' (expected 'Rejected').</t>
        </is>
      </c>
      <c r="H17" s="37" t="inlineStr">
        <is>
          <t>Pass</t>
        </is>
      </c>
      <c r="I17" s="34" t="inlineStr">
        <is>
          <t>High</t>
        </is>
      </c>
      <c r="J17" s="34" t="inlineStr">
        <is>
          <t>Cline (automated agent, HTTP-level execution)</t>
        </is>
      </c>
      <c r="K17" s="34" t="inlineStr">
        <is>
          <t>2026-09-29</t>
        </is>
      </c>
      <c r="L1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8" ht="75" customHeight="1" s="22">
      <c r="A18" s="34" t="inlineStr">
        <is>
          <t>LON-017</t>
        </is>
      </c>
      <c r="B18" s="34" t="inlineStr">
        <is>
          <t>Staff cannot review/approve loans</t>
        </is>
      </c>
      <c r="C18" s="34" t="inlineStr">
        <is>
          <t>Logged in as Staff/Manager</t>
        </is>
      </c>
      <c r="D18" s="34" t="inlineStr">
        <is>
          <t>1. Attempt PATCH /loans/:id/review</t>
        </is>
      </c>
      <c r="E18" s="34" t="inlineStr">
        <is>
          <t>N/A</t>
        </is>
      </c>
      <c r="F18" s="34" t="inlineStr">
        <is>
          <t>HTTP 403 Forbidden; loan status unchanged</t>
        </is>
      </c>
      <c r="G18" s="35" t="inlineStr">
        <is>
          <t>PATCH /loans/58de38a1-343e-443c-959c-3ec962f0f04c/review as Staff -&gt; HTTP 403 (Super Admin/Admin only); stored status unchanged ('Approved').</t>
        </is>
      </c>
      <c r="H18" s="37" t="inlineStr">
        <is>
          <t>Pass</t>
        </is>
      </c>
      <c r="I18" s="34" t="inlineStr">
        <is>
          <t>High</t>
        </is>
      </c>
      <c r="J18" s="34" t="inlineStr">
        <is>
          <t>Cline (automated agent, HTTP-level execution)</t>
        </is>
      </c>
      <c r="K18" s="34" t="inlineStr">
        <is>
          <t>2026-09-29</t>
        </is>
      </c>
      <c r="L1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18"/>
  <dataValidations count="2">
    <dataValidation sqref="H2:H18" showDropDown="0" showInputMessage="0" showErrorMessage="0" allowBlank="0" type="list" errorStyle="stop" operator="between">
      <formula1>"Pass,Fail,Blocked,Not Executed"</formula1>
      <formula2>0</formula2>
    </dataValidation>
    <dataValidation sqref="I2:I18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L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LRP-001</t>
        </is>
      </c>
      <c r="B2" s="34" t="inlineStr">
        <is>
          <t>Loan repayments list page loads</t>
        </is>
      </c>
      <c r="C2" s="34" t="inlineStr">
        <is>
          <t>Logged in as Super Admin/Admin/Manager/Staff</t>
        </is>
      </c>
      <c r="D2" s="34" t="inlineStr">
        <is>
          <t>1. Navigate to /loan-repayments/page</t>
        </is>
      </c>
      <c r="E2" s="34" t="inlineStr">
        <is>
          <t>N/A</t>
        </is>
      </c>
      <c r="F2" s="34" t="inlineStr">
        <is>
          <t>List of repayment schedules/records renders with due dates and statuses</t>
        </is>
      </c>
      <c r="G2" s="35" t="inlineStr">
        <is>
          <t>GET /loan-repayments/page -&gt; HTTP 200; repayment list page rendered (HTML 28591 bytes).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LRP-002</t>
        </is>
      </c>
      <c r="B3" s="34" t="inlineStr">
        <is>
          <t>View single repayment record</t>
        </is>
      </c>
      <c r="C3" s="34" t="inlineStr">
        <is>
          <t>A repayment record exists</t>
        </is>
      </c>
      <c r="D3" s="34" t="inlineStr">
        <is>
          <t>1. Call GET /:id for a repayment</t>
        </is>
      </c>
      <c r="E3" s="34" t="inlineStr">
        <is>
          <t>Valid repayment ID</t>
        </is>
      </c>
      <c r="F3" s="34" t="inlineStr">
        <is>
          <t>Repayment details (amount, due date, status) returned correctly</t>
        </is>
      </c>
      <c r="G3" s="35" t="inlineStr">
        <is>
          <t>GET /loan-repayments/916b6956-8230-4df8-b84b-60a36e1192c3 -&gt; HTTP 200; repayment detail returned (success=true, id echoed=True).</t>
        </is>
      </c>
      <c r="H3" s="37" t="inlineStr">
        <is>
          <t>Pass</t>
        </is>
      </c>
      <c r="I3" s="34" t="inlineStr">
        <is>
          <t>Medium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LRP-003</t>
        </is>
      </c>
      <c r="B4" s="34" t="inlineStr">
        <is>
          <t>Record a repayment (pay)</t>
        </is>
      </c>
      <c r="C4" s="34" t="inlineStr">
        <is>
          <t>A pending repayment installment exists</t>
        </is>
      </c>
      <c r="D4" s="34" t="inlineStr">
        <is>
          <t>1. PATCH /:id/pay with payment details</t>
        </is>
      </c>
      <c r="E4" s="34" t="inlineStr">
        <is>
          <t>Valid payment amount/date</t>
        </is>
      </c>
      <c r="F4" s="34" t="inlineStr">
        <is>
          <t>Repayment marked as paid; outstanding loan balance decreases accordingly</t>
        </is>
      </c>
      <c r="G4" s="35" t="inlineStr">
        <is>
          <t>PATCH /loan-repayments/916b6956-8230-4df8-b84b-60a36e1192c3/pay (4375 of 4375) -&gt; HTTP 200; re-read status='Paid', paid_amount='4375'.</t>
        </is>
      </c>
      <c r="H4" s="37" t="inlineStr">
        <is>
          <t>Pass</t>
        </is>
      </c>
      <c r="I4" s="34" t="inlineStr">
        <is>
          <t>High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LRP-004</t>
        </is>
      </c>
      <c r="B5" s="34" t="inlineStr">
        <is>
          <t>Overpayment / incorrect amount on repayment</t>
        </is>
      </c>
      <c r="C5" s="34" t="inlineStr">
        <is>
          <t>A pending repayment exists</t>
        </is>
      </c>
      <c r="D5" s="34" t="inlineStr">
        <is>
          <t>1. PATCH /:id/pay with amount not matching the due installment</t>
        </is>
      </c>
      <c r="E5" s="34" t="inlineStr">
        <is>
          <t>Mismatched amount</t>
        </is>
      </c>
      <c r="F5" s="34" t="inlineStr">
        <is>
          <t>System either rejects or correctly handles partial/overpayment per business rule; no silent data corruption</t>
        </is>
      </c>
      <c r="G5" s="35" t="inlineStr">
        <is>
          <t>PATCH /loan-repayments/232e23a6-8cd4-49ea-9724-c5613607bef5/pay with 999999 against an amount of 4375 -&gt; HTTP 400 (message='Payment amount exceeds remaining amount'); the record is unchanged (status='Pending', paid_amount='0').</t>
        </is>
      </c>
      <c r="H5" s="37" t="inlineStr">
        <is>
          <t>Pass</t>
        </is>
      </c>
      <c r="I5" s="34" t="inlineStr">
        <is>
          <t>Medium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LRP-005</t>
        </is>
      </c>
      <c r="B6" s="34" t="inlineStr">
        <is>
          <t>Cancel a repayment record</t>
        </is>
      </c>
      <c r="C6" s="34" t="inlineStr">
        <is>
          <t>A repayment record exists</t>
        </is>
      </c>
      <c r="D6" s="34" t="inlineStr">
        <is>
          <t>1. PATCH /:id/cancel</t>
        </is>
      </c>
      <c r="E6" s="34" t="inlineStr">
        <is>
          <t>N/A</t>
        </is>
      </c>
      <c r="F6" s="34" t="inlineStr">
        <is>
          <t>Repayment marked cancelled; loan balance/schedule recalculated correctly</t>
        </is>
      </c>
      <c r="G6" s="35" t="inlineStr">
        <is>
          <t>PATCH /loan-repayments/4fd0fd39-1f85-46b7-9f61-66f2b84cc55b/cancel -&gt; HTTP 200; re-read status='Cancelled' (expected 'Cancelled').</t>
        </is>
      </c>
      <c r="H6" s="37" t="inlineStr">
        <is>
          <t>Pass</t>
        </is>
      </c>
      <c r="I6" s="34" t="inlineStr">
        <is>
          <t>Medium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LRP-006</t>
        </is>
      </c>
      <c r="B7" s="34" t="inlineStr">
        <is>
          <t>Duplicate repayment prevention</t>
        </is>
      </c>
      <c r="C7" s="34" t="inlineStr">
        <is>
          <t>A repayment already marked as paid</t>
        </is>
      </c>
      <c r="D7" s="34" t="inlineStr">
        <is>
          <t>1. Attempt to pay the same installment again</t>
        </is>
      </c>
      <c r="E7" s="34" t="inlineStr">
        <is>
          <t>Same repayment ID</t>
        </is>
      </c>
      <c r="F7" s="34" t="inlineStr">
        <is>
          <t>System blocks duplicate payment (per loan_repayment_dedup migration) with an appropriate error</t>
        </is>
      </c>
      <c r="G7" s="35" t="inlineStr">
        <is>
          <t>POST /loan-repayments repeating installment 1 for loan b4b31447-bce9-40cb-b980-03c5107f8bcc -&gt; HTTP 409; message='Repayment installment already exists'; the unique (loan_id, installment_number) pair was not duplicated.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LRP-007</t>
        </is>
      </c>
      <c r="B8" s="34" t="inlineStr">
        <is>
          <t>Pay/cancel a non-existent repayment</t>
        </is>
      </c>
      <c r="C8" s="34" t="inlineStr">
        <is>
          <t>N/A</t>
        </is>
      </c>
      <c r="D8" s="34" t="inlineStr">
        <is>
          <t>1. PATCH /:id/pay or /:id/cancel with invalid ID</t>
        </is>
      </c>
      <c r="E8" s="34" t="inlineStr">
        <is>
          <t>Invalid ID</t>
        </is>
      </c>
      <c r="F8" s="34" t="inlineStr">
        <is>
          <t>HTTP 404 Not Found returned</t>
        </is>
      </c>
      <c r="G8" s="35" t="inlineStr">
        <is>
          <t>PATCH /loan-repayments/2bcc74f8-ccda-47c3-96c8-283ba4ced7d3/pay -&gt; HTTP 404 (message='Repayment not found'); PATCH .../cancel -&gt; HTTP 404; a random UUID is rejected instead of being created.</t>
        </is>
      </c>
      <c r="H8" s="37" t="inlineStr">
        <is>
          <t>Pass</t>
        </is>
      </c>
      <c r="I8" s="34" t="inlineStr">
        <is>
          <t>Low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LRP-008</t>
        </is>
      </c>
      <c r="B9" s="34" t="inlineStr">
        <is>
          <t>Unauthorized role cannot record repayments</t>
        </is>
      </c>
      <c r="C9" s="34" t="inlineStr">
        <is>
          <t>Logged in as Volunteer/Donor/Student</t>
        </is>
      </c>
      <c r="D9" s="34" t="inlineStr">
        <is>
          <t>1. Attempt PATCH /:id/pay</t>
        </is>
      </c>
      <c r="E9" s="34" t="inlineStr">
        <is>
          <t>N/A</t>
        </is>
      </c>
      <c r="F9" s="34" t="inlineStr">
        <is>
          <t>HTTP 403 Forbidden; repayment unchanged</t>
        </is>
      </c>
      <c r="G9" s="35" t="inlineStr">
        <is>
          <t>Donor role: PATCH /loan-repayments/&lt;uuid&gt;/pay -&gt; HTTP 403; the repayment module is Staff-and-above only.</t>
        </is>
      </c>
      <c r="H9" s="37" t="inlineStr">
        <is>
          <t>Pass</t>
        </is>
      </c>
      <c r="I9" s="34" t="inlineStr">
        <is>
          <t>High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9"/>
  <dataValidations count="2">
    <dataValidation sqref="H2:H9" showDropDown="0" showInputMessage="0" showErrorMessage="0" allowBlank="0" type="list" errorStyle="stop" operator="between">
      <formula1>"Pass,Fail,Blocked,Not Executed"</formula1>
      <formula2>0</formula2>
    </dataValidation>
    <dataValidation sqref="I2:I9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L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AID-001</t>
        </is>
      </c>
      <c r="B2" s="34" t="inlineStr">
        <is>
          <t>Aid Request list page loads</t>
        </is>
      </c>
      <c r="C2" s="34" t="inlineStr">
        <is>
          <t>Logged in as Super Admin, Admin, Manager, Staff</t>
        </is>
      </c>
      <c r="D2" s="34" t="inlineStr">
        <is>
          <t>1. Navigate to the Aid Request list page</t>
        </is>
      </c>
      <c r="E2" s="34" t="inlineStr">
        <is>
          <t>N/A</t>
        </is>
      </c>
      <c r="F2" s="34" t="inlineStr">
        <is>
          <t>Paginated aid request list renders with expected columns</t>
        </is>
      </c>
      <c r="G2" s="35" t="inlineStr">
        <is>
          <t>GET /aid-requests/page -&gt; HTTP 200; aid request list page rendered (HTML 16963 bytes).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AID-002</t>
        </is>
      </c>
      <c r="B3" s="34" t="inlineStr">
        <is>
          <t>List aid requests via API</t>
        </is>
      </c>
      <c r="C3" s="34" t="inlineStr">
        <is>
          <t>Logged in as Super Admin, Admin, Manager, Staff</t>
        </is>
      </c>
      <c r="D3" s="34" t="inlineStr">
        <is>
          <t>1. Call GET list endpoint for aid requests</t>
        </is>
      </c>
      <c r="E3" s="34" t="inlineStr">
        <is>
          <t>N/A</t>
        </is>
      </c>
      <c r="F3" s="34" t="inlineStr">
        <is>
          <t>HTTP 200 with correctly structured JSON array/pagination metadata</t>
        </is>
      </c>
      <c r="G3" s="35" t="inlineStr">
        <is>
          <t>GET /aid-requests?page_size=5 -&gt; HTTP 200; rows=5, total=98, pagination metadata present=True.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AID-003</t>
        </is>
      </c>
      <c r="B4" s="34" t="inlineStr">
        <is>
          <t>Search/filter aid requests</t>
        </is>
      </c>
      <c r="C4" s="34" t="inlineStr">
        <is>
          <t>Multiple aid request records exist</t>
        </is>
      </c>
      <c r="D4" s="34" t="inlineStr">
        <is>
          <t>1. Apply search/filter/status query params on the list endpoint</t>
        </is>
      </c>
      <c r="E4" s="34" t="inlineStr">
        <is>
          <t>Known keyword / status filter</t>
        </is>
      </c>
      <c r="F4" s="34" t="inlineStr">
        <is>
          <t>Only matching records are returned</t>
        </is>
      </c>
      <c r="G4" s="35" t="inlineStr">
        <is>
          <t>GET /aid-requests?search=search68997383db -&gt; HTTP 200; filtered rows=1 of 50 unfiltered and every row matches the filter (1/1); a non-matching value returns 0 rows.</t>
        </is>
      </c>
      <c r="H4" s="37" t="inlineStr">
        <is>
          <t>Pass</t>
        </is>
      </c>
      <c r="I4" s="34" t="inlineStr">
        <is>
          <t>Medium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AID-004</t>
        </is>
      </c>
      <c r="B5" s="34" t="inlineStr">
        <is>
          <t>View single aid request by ID</t>
        </is>
      </c>
      <c r="C5" s="34" t="inlineStr">
        <is>
          <t>A aid request record exists</t>
        </is>
      </c>
      <c r="D5" s="34" t="inlineStr">
        <is>
          <t>1. Call GET /:id for an existing record</t>
        </is>
      </c>
      <c r="E5" s="34" t="inlineStr">
        <is>
          <t>Valid record ID</t>
        </is>
      </c>
      <c r="F5" s="34" t="inlineStr">
        <is>
          <t>Full record details returned with HTTP 200</t>
        </is>
      </c>
      <c r="G5" s="35" t="inlineStr">
        <is>
          <t>GET /aid-requests/ecb2b9cf-5815-4899-be6b-7efe3c85d23e -&gt; HTTP 200; full aid request record returned (success=true, id echoed=True).</t>
        </is>
      </c>
      <c r="H5" s="37" t="inlineStr">
        <is>
          <t>Pass</t>
        </is>
      </c>
      <c r="I5" s="34" t="inlineStr">
        <is>
          <t>High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AID-005</t>
        </is>
      </c>
      <c r="B6" s="34" t="inlineStr">
        <is>
          <t>View non-existent aid request</t>
        </is>
      </c>
      <c r="C6" s="34" t="inlineStr">
        <is>
          <t>N/A</t>
        </is>
      </c>
      <c r="D6" s="34" t="inlineStr">
        <is>
          <t>1. Call GET /:id with a random/invalid ID</t>
        </is>
      </c>
      <c r="E6" s="34" t="inlineStr">
        <is>
          <t>Invalid ID</t>
        </is>
      </c>
      <c r="F6" s="34" t="inlineStr">
        <is>
          <t>HTTP 404 Not Found returned</t>
        </is>
      </c>
      <c r="G6" s="35" t="inlineStr">
        <is>
          <t>GET /aid-requests/d443d69b-fad0-4fda-a374-e8ea3c762b95 (random UUID) -&gt; HTTP 404; message='Aid request not found'.</t>
        </is>
      </c>
      <c r="H6" s="37" t="inlineStr">
        <is>
          <t>Pass</t>
        </is>
      </c>
      <c r="I6" s="34" t="inlineStr">
        <is>
          <t>Low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AID-006</t>
        </is>
      </c>
      <c r="B7" s="34" t="inlineStr">
        <is>
          <t>Create aid request - valid data</t>
        </is>
      </c>
      <c r="C7" s="34" t="inlineStr">
        <is>
          <t>Logged in as Super Admin, Admin, Manager, Staff</t>
        </is>
      </c>
      <c r="D7" s="34" t="inlineStr">
        <is>
          <t>1. Submit create form/API with all required fields valid</t>
        </is>
      </c>
      <c r="E7" s="34" t="inlineStr">
        <is>
          <t>Complete valid payload</t>
        </is>
      </c>
      <c r="F7" s="34" t="inlineStr">
        <is>
          <t>New aid request is created and appears in the list; HTTP 201</t>
        </is>
      </c>
      <c r="G7" s="35" t="inlineStr">
        <is>
          <t>POST /aid-requests -&gt; HTTP 201; the aid request row was created and is retrievable (id=37672b70-83d0-4db0-9716-1b3a5c025e00, re-read OK=True).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AID-007</t>
        </is>
      </c>
      <c r="B8" s="34" t="inlineStr">
        <is>
          <t>Create aid request - missing required fields</t>
        </is>
      </c>
      <c r="C8" s="34" t="inlineStr">
        <is>
          <t>Logged in as Super Admin, Admin, Manager, Staff</t>
        </is>
      </c>
      <c r="D8" s="34" t="inlineStr">
        <is>
          <t>1. Submit create form/API omitting a required field</t>
        </is>
      </c>
      <c r="E8" s="34" t="inlineStr">
        <is>
          <t>Payload missing a mandatory field</t>
        </is>
      </c>
      <c r="F8" s="34" t="inlineStr">
        <is>
          <t>Validation error returned; no record created</t>
        </is>
      </c>
      <c r="G8" s="35" t="inlineStr">
        <is>
          <t>POST /aid-requests omitting a required field -&gt; HTTP 400; message='Invalid aid request information'; no record created.</t>
        </is>
      </c>
      <c r="H8" s="37" t="inlineStr">
        <is>
          <t>Pass</t>
        </is>
      </c>
      <c r="I8" s="34" t="inlineStr">
        <is>
          <t>High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AID-008</t>
        </is>
      </c>
      <c r="B9" s="34" t="inlineStr">
        <is>
          <t>Create aid request - invalid field format</t>
        </is>
      </c>
      <c r="C9" s="34" t="inlineStr">
        <is>
          <t>Logged in as Super Admin, Admin, Manager, Staff</t>
        </is>
      </c>
      <c r="D9" s="34" t="inlineStr">
        <is>
          <t>1. Submit create with malformed data (e.g. bad date, negative amount, invalid email/phone)</t>
        </is>
      </c>
      <c r="E9" s="34" t="inlineStr">
        <is>
          <t>Malformed field value</t>
        </is>
      </c>
      <c r="F9" s="34" t="inlineStr">
        <is>
          <t>Validation error returned; no record created</t>
        </is>
      </c>
      <c r="G9" s="35" t="inlineStr">
        <is>
          <t>POST /aid-requests with malformed data -&gt; unknown person_id: HTTP 404 msg='Person not found'; negative requested amount: HTTP 422 msg='requested amount must be greater than zero'; description shorter than 5 chars: HTTP 400 msg='Invalid aid request information'.</t>
        </is>
      </c>
      <c r="H9" s="37" t="inlineStr">
        <is>
          <t>Pass</t>
        </is>
      </c>
      <c r="I9" s="34" t="inlineStr">
        <is>
          <t>Medium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AID-009</t>
        </is>
      </c>
      <c r="B10" s="34" t="inlineStr">
        <is>
          <t>Update aid request - valid changes</t>
        </is>
      </c>
      <c r="C10" s="34" t="inlineStr">
        <is>
          <t>A aid request record exists</t>
        </is>
      </c>
      <c r="D10" s="34" t="inlineStr">
        <is>
          <t>1. Submit PUT /:id with updated field values</t>
        </is>
      </c>
      <c r="E10" s="34" t="inlineStr">
        <is>
          <t>Valid updated payload</t>
        </is>
      </c>
      <c r="F10" s="34" t="inlineStr">
        <is>
          <t>Record updated; changes visible on subsequent GET</t>
        </is>
      </c>
      <c r="G10" s="35" t="inlineStr">
        <is>
          <t>PUT /aid-requests/37672b70-83d0-4db0-9716-1b3a5c025e00 -&gt; HTTP 200; re-read requested_amount='4600' (expected '4600').</t>
        </is>
      </c>
      <c r="H10" s="37" t="inlineStr">
        <is>
          <t>Pass</t>
        </is>
      </c>
      <c r="I10" s="34" t="inlineStr">
        <is>
          <t>High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1" ht="75" customHeight="1" s="22">
      <c r="A11" s="34" t="inlineStr">
        <is>
          <t>AID-010</t>
        </is>
      </c>
      <c r="B11" s="34" t="inlineStr">
        <is>
          <t>Update aid request - invalid data</t>
        </is>
      </c>
      <c r="C11" s="34" t="inlineStr">
        <is>
          <t>A aid request record exists</t>
        </is>
      </c>
      <c r="D11" s="34" t="inlineStr">
        <is>
          <t>1. Submit PUT /:id with invalid data</t>
        </is>
      </c>
      <c r="E11" s="34" t="inlineStr">
        <is>
          <t>Invalid payload</t>
        </is>
      </c>
      <c r="F11" s="34" t="inlineStr">
        <is>
          <t>Validation error returned; record left unchanged</t>
        </is>
      </c>
      <c r="G11" s="35" t="inlineStr">
        <is>
          <t>PUT /aid-requests/37672b70-83d0-4db0-9716-1b3a5c025e00 with invalid data -&gt; negative requested amount: HTTP 422, stored requested_amount='4600'; unsupported aid type: HTTP 422, stored requested_amount='4600' (value before the probes requested_amount='4600').</t>
        </is>
      </c>
      <c r="H11" s="37" t="inlineStr">
        <is>
          <t>Pass</t>
        </is>
      </c>
      <c r="I11" s="34" t="inlineStr">
        <is>
          <t>Medium</t>
        </is>
      </c>
      <c r="J11" s="34" t="inlineStr">
        <is>
          <t>Cline (automated agent, HTTP-level execution)</t>
        </is>
      </c>
      <c r="K11" s="34" t="inlineStr">
        <is>
          <t>2026-09-29</t>
        </is>
      </c>
      <c r="L11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2" ht="75" customHeight="1" s="22">
      <c r="A12" s="34" t="inlineStr">
        <is>
          <t>AID-011</t>
        </is>
      </c>
      <c r="B12" s="34" t="inlineStr">
        <is>
          <t>Update non-existent aid request</t>
        </is>
      </c>
      <c r="C12" s="34" t="inlineStr">
        <is>
          <t>N/A</t>
        </is>
      </c>
      <c r="D12" s="34" t="inlineStr">
        <is>
          <t>1. Submit PUT /:id for a random/invalid ID</t>
        </is>
      </c>
      <c r="E12" s="34" t="inlineStr">
        <is>
          <t>Invalid ID</t>
        </is>
      </c>
      <c r="F12" s="34" t="inlineStr">
        <is>
          <t>HTTP 404 Not Found returned</t>
        </is>
      </c>
      <c r="G12" s="35" t="inlineStr">
        <is>
          <t>PUT /aid-requests/c4f37b24-49f2-4226-a1f6-2333ceb7c557 (random UUID) -&gt; HTTP 404; message='Aid request not found'.</t>
        </is>
      </c>
      <c r="H12" s="37" t="inlineStr">
        <is>
          <t>Pass</t>
        </is>
      </c>
      <c r="I12" s="34" t="inlineStr">
        <is>
          <t>Low</t>
        </is>
      </c>
      <c r="J12" s="34" t="inlineStr">
        <is>
          <t>Cline (automated agent, HTTP-level execution)</t>
        </is>
      </c>
      <c r="K12" s="34" t="inlineStr">
        <is>
          <t>2026-09-29</t>
        </is>
      </c>
      <c r="L1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3" ht="75" customHeight="1" s="22">
      <c r="A13" s="34" t="inlineStr">
        <is>
          <t>AID-012</t>
        </is>
      </c>
      <c r="B13" s="34" t="inlineStr">
        <is>
          <t>Delete aid request as authorized role</t>
        </is>
      </c>
      <c r="C13" s="34" t="inlineStr">
        <is>
          <t>Logged in as Super Admin, Admin; record exists</t>
        </is>
      </c>
      <c r="D13" s="34" t="inlineStr">
        <is>
          <t>1. Call DELETE /:id</t>
        </is>
      </c>
      <c r="E13" s="34" t="inlineStr">
        <is>
          <t>Valid record ID</t>
        </is>
      </c>
      <c r="F13" s="34" t="inlineStr">
        <is>
          <t>Record is deleted (or soft-deleted) and no longer appears in list</t>
        </is>
      </c>
      <c r="G13" s="35" t="inlineStr">
        <is>
          <t>DELETE /aid-requests/67638162-fe23-4672-ab21-19be86259356 as Admin -&gt; HTTP 200; re-read -&gt; HTTP 404; the record is gone from the module. Fixture precondition: cancel -&gt; HTTP 200 (delete requires Rejected/Cancelled).</t>
        </is>
      </c>
      <c r="H13" s="37" t="inlineStr">
        <is>
          <t>Pass</t>
        </is>
      </c>
      <c r="I13" s="34" t="inlineStr">
        <is>
          <t>High</t>
        </is>
      </c>
      <c r="J13" s="34" t="inlineStr">
        <is>
          <t>Cline (automated agent, HTTP-level execution)</t>
        </is>
      </c>
      <c r="K13" s="34" t="inlineStr">
        <is>
          <t>2026-09-29</t>
        </is>
      </c>
      <c r="L1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4" ht="75" customHeight="1" s="22">
      <c r="A14" s="34" t="inlineStr">
        <is>
          <t>AID-013</t>
        </is>
      </c>
      <c r="B14" s="34" t="inlineStr">
        <is>
          <t>Delete aid request as unauthorized role</t>
        </is>
      </c>
      <c r="C14" s="34" t="inlineStr">
        <is>
          <t>Logged in as a role NOT in [Super Admin, Admin]</t>
        </is>
      </c>
      <c r="D14" s="34" t="inlineStr">
        <is>
          <t>1. Attempt DELETE /:id</t>
        </is>
      </c>
      <c r="E14" s="34" t="inlineStr">
        <is>
          <t>Valid record ID</t>
        </is>
      </c>
      <c r="F14" s="34" t="inlineStr">
        <is>
          <t>HTTP 403 Forbidden; record is not deleted</t>
        </is>
      </c>
      <c r="G14" s="35" t="inlineStr">
        <is>
          <t>DELETE /aid-requests/e8ae6b58-35c7-4e5f-b8ed-2327a1d1c426 as Donor -&gt; HTTP 403; the record was not deleted (Admin re-read -&gt; HTTP 200).</t>
        </is>
      </c>
      <c r="H14" s="37" t="inlineStr">
        <is>
          <t>Pass</t>
        </is>
      </c>
      <c r="I14" s="34" t="inlineStr">
        <is>
          <t>High</t>
        </is>
      </c>
      <c r="J14" s="34" t="inlineStr">
        <is>
          <t>Cline (automated agent, HTTP-level execution)</t>
        </is>
      </c>
      <c r="K14" s="34" t="inlineStr">
        <is>
          <t>2026-09-29</t>
        </is>
      </c>
      <c r="L1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5" ht="75" customHeight="1" s="22">
      <c r="A15" s="34" t="inlineStr">
        <is>
          <t>AID-014</t>
        </is>
      </c>
      <c r="B15" s="34" t="inlineStr">
        <is>
          <t>Access aid request module as unauthorized role</t>
        </is>
      </c>
      <c r="C15" s="34" t="inlineStr">
        <is>
          <t>Logged in as a role outside the allowed list</t>
        </is>
      </c>
      <c r="D15" s="34" t="inlineStr">
        <is>
          <t>1. Attempt to access list/create/update endpoints</t>
        </is>
      </c>
      <c r="E15" s="34" t="inlineStr">
        <is>
          <t>N/A</t>
        </is>
      </c>
      <c r="F15" s="34" t="inlineStr">
        <is>
          <t>HTTP 403 Forbidden or redirect; no data exposed</t>
        </is>
      </c>
      <c r="G15" s="35" t="inlineStr">
        <is>
          <t>Donor role: GET /aid-requests -&gt; HTTP 403, POST /aid-requests -&gt; HTTP 403; the 403 bodies expose no records.</t>
        </is>
      </c>
      <c r="H15" s="37" t="inlineStr">
        <is>
          <t>Pass</t>
        </is>
      </c>
      <c r="I15" s="34" t="inlineStr">
        <is>
          <t>High</t>
        </is>
      </c>
      <c r="J15" s="34" t="inlineStr">
        <is>
          <t>Cline (automated agent, HTTP-level execution)</t>
        </is>
      </c>
      <c r="K15" s="34" t="inlineStr">
        <is>
          <t>2026-09-29</t>
        </is>
      </c>
      <c r="L1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6" ht="75" customHeight="1" s="22">
      <c r="A16" s="34" t="inlineStr">
        <is>
          <t>AID-015</t>
        </is>
      </c>
      <c r="B16" s="34" t="inlineStr">
        <is>
          <t>Access aid request module while logged out</t>
        </is>
      </c>
      <c r="C16" s="34" t="inlineStr">
        <is>
          <t>No active session</t>
        </is>
      </c>
      <c r="D16" s="34" t="inlineStr">
        <is>
          <t>1. Attempt to access any /{entity.lower()} endpoint directly</t>
        </is>
      </c>
      <c r="E16" s="34" t="inlineStr">
        <is>
          <t>N/A</t>
        </is>
      </c>
      <c r="F16" s="34" t="inlineStr">
        <is>
          <t>Redirected to /login or HTTP 401 returned</t>
        </is>
      </c>
      <c r="G16" s="35" t="inlineStr">
        <is>
          <t>Without a session: GET /aid-requests/page -&gt; HTTP 303 (redirect to /login); GET /aid-requests (API) -&gt; HTTP 401.</t>
        </is>
      </c>
      <c r="H16" s="37" t="inlineStr">
        <is>
          <t>Pass</t>
        </is>
      </c>
      <c r="I16" s="34" t="inlineStr">
        <is>
          <t>High</t>
        </is>
      </c>
      <c r="J16" s="34" t="inlineStr">
        <is>
          <t>Cline (automated agent, HTTP-level execution)</t>
        </is>
      </c>
      <c r="K16" s="34" t="inlineStr">
        <is>
          <t>2026-09-29</t>
        </is>
      </c>
      <c r="L1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7" ht="75" customHeight="1" s="22">
      <c r="A17" s="34" t="inlineStr">
        <is>
          <t>AID-016</t>
        </is>
      </c>
      <c r="B17" s="34" t="inlineStr">
        <is>
          <t>Review (approve) aid request</t>
        </is>
      </c>
      <c r="C17" s="34" t="inlineStr">
        <is>
          <t>A pending aid request exists; logged in as Admin/Super Admin</t>
        </is>
      </c>
      <c r="D17" s="34" t="inlineStr">
        <is>
          <t>1. PATCH /aid-requests/:id/review with approve decision</t>
        </is>
      </c>
      <c r="E17" s="34" t="inlineStr">
        <is>
          <t>Approve decision</t>
        </is>
      </c>
      <c r="F17" s="34" t="inlineStr">
        <is>
          <t>Request status updated to Approved; linked person/care records updated as applicable</t>
        </is>
      </c>
      <c r="G17" s="35" t="inlineStr">
        <is>
          <t>PATCH /aid-requests/f4fd3558-fa09-48ac-bf8d-714550df0276/review as Admin -&gt; HTTP 200 (Pending-&gt;Under Review, msg='Aid request reviewed successfully') then HTTP 200 (-&gt;Approved, approved_amount=1200, msg='Aid request reviewed successfully'); re-read status='Approved' (expected 'Approved'; the reviewer is not the submitter).</t>
        </is>
      </c>
      <c r="H17" s="37" t="inlineStr">
        <is>
          <t>Pass</t>
        </is>
      </c>
      <c r="I17" s="34" t="inlineStr">
        <is>
          <t>High</t>
        </is>
      </c>
      <c r="J17" s="34" t="inlineStr">
        <is>
          <t>Cline (automated agent, HTTP-level execution)</t>
        </is>
      </c>
      <c r="K17" s="34" t="inlineStr">
        <is>
          <t>2026-09-29</t>
        </is>
      </c>
      <c r="L1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8" ht="75" customHeight="1" s="22">
      <c r="A18" s="34" t="inlineStr">
        <is>
          <t>AID-017</t>
        </is>
      </c>
      <c r="B18" s="34" t="inlineStr">
        <is>
          <t>Review (reject) aid request</t>
        </is>
      </c>
      <c r="C18" s="34" t="inlineStr">
        <is>
          <t>A pending aid request exists; logged in as Admin/Super Admin</t>
        </is>
      </c>
      <c r="D18" s="34" t="inlineStr">
        <is>
          <t>1. PATCH /aid-requests/:id/review with reject decision + reason</t>
        </is>
      </c>
      <c r="E18" s="34" t="inlineStr">
        <is>
          <t>Reject decision + reason</t>
        </is>
      </c>
      <c r="F18" s="34" t="inlineStr">
        <is>
          <t>Request status updated to Rejected with reason stored</t>
        </is>
      </c>
      <c r="G18" s="35" t="inlineStr">
        <is>
          <t>PATCH /aid-requests/1084ae37-aa77-4df7-9fa7-a1007a647fca/review (Rejected) as Admin -&gt; HTTP 200 then HTTP 200 (msg='Aid request reviewed successfully'); re-read status='Rejected' (expected 'Rejected').</t>
        </is>
      </c>
      <c r="H18" s="37" t="inlineStr">
        <is>
          <t>Pass</t>
        </is>
      </c>
      <c r="I18" s="34" t="inlineStr">
        <is>
          <t>High</t>
        </is>
      </c>
      <c r="J18" s="34" t="inlineStr">
        <is>
          <t>Cline (automated agent, HTTP-level execution)</t>
        </is>
      </c>
      <c r="K18" s="34" t="inlineStr">
        <is>
          <t>2026-09-29</t>
        </is>
      </c>
      <c r="L1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9" ht="75" customHeight="1" s="22">
      <c r="A19" s="34" t="inlineStr">
        <is>
          <t>AID-018</t>
        </is>
      </c>
      <c r="B19" s="34" t="inlineStr">
        <is>
          <t>Cancel an aid request</t>
        </is>
      </c>
      <c r="C19" s="34" t="inlineStr">
        <is>
          <t>A pending aid request exists</t>
        </is>
      </c>
      <c r="D19" s="34" t="inlineStr">
        <is>
          <t>1. PATCH /aid-requests/:id/cancel</t>
        </is>
      </c>
      <c r="E19" s="34" t="inlineStr">
        <is>
          <t>N/A</t>
        </is>
      </c>
      <c r="F19" s="34" t="inlineStr">
        <is>
          <t>Request status updated to Cancelled by an authorized role (Super Admin/Admin/Staff)</t>
        </is>
      </c>
      <c r="G19" s="35" t="inlineStr">
        <is>
          <t>PATCH /aid-requests/197fc2a8-cec6-4bd1-bbd0-ed6f7cedf49a/cancel as Admin -&gt; HTTP 200; re-read status='Cancelled' (expected 'Cancelled').</t>
        </is>
      </c>
      <c r="H19" s="37" t="inlineStr">
        <is>
          <t>Pass</t>
        </is>
      </c>
      <c r="I19" s="34" t="inlineStr">
        <is>
          <t>Medium</t>
        </is>
      </c>
      <c r="J19" s="34" t="inlineStr">
        <is>
          <t>Cline (automated agent, HTTP-level execution)</t>
        </is>
      </c>
      <c r="K19" s="34" t="inlineStr">
        <is>
          <t>2026-09-29</t>
        </is>
      </c>
      <c r="L1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20" ht="75" customHeight="1" s="22">
      <c r="A20" s="34" t="inlineStr">
        <is>
          <t>AID-019</t>
        </is>
      </c>
      <c r="B20" s="34" t="inlineStr">
        <is>
          <t>Staff cannot review aid requests</t>
        </is>
      </c>
      <c r="C20" s="34" t="inlineStr">
        <is>
          <t>Logged in as Staff</t>
        </is>
      </c>
      <c r="D20" s="34" t="inlineStr">
        <is>
          <t>1. Attempt PATCH /aid-requests/:id/review</t>
        </is>
      </c>
      <c r="E20" s="34" t="inlineStr">
        <is>
          <t>N/A</t>
        </is>
      </c>
      <c r="F20" s="34" t="inlineStr">
        <is>
          <t>HTTP 403 Forbidden; request status unchanged</t>
        </is>
      </c>
      <c r="G20" s="35" t="inlineStr">
        <is>
          <t>PATCH /aid-requests/f4fd3558-fa09-48ac-bf8d-714550df0276/review as Staff -&gt; HTTP 403 (Super Admin/Admin only); stored status unchanged ('Approved').</t>
        </is>
      </c>
      <c r="H20" s="37" t="inlineStr">
        <is>
          <t>Pass</t>
        </is>
      </c>
      <c r="I20" s="34" t="inlineStr">
        <is>
          <t>High</t>
        </is>
      </c>
      <c r="J20" s="34" t="inlineStr">
        <is>
          <t>Cline (automated agent, HTTP-level execution)</t>
        </is>
      </c>
      <c r="K20" s="34" t="inlineStr">
        <is>
          <t>2026-09-29</t>
        </is>
      </c>
      <c r="L2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20"/>
  <dataValidations count="2">
    <dataValidation sqref="H2:H20" showDropDown="0" showInputMessage="0" showErrorMessage="0" allowBlank="0" type="list" errorStyle="stop" operator="between">
      <formula1>"Pass,Fail,Blocked,Not Executed"</formula1>
      <formula2>0</formula2>
    </dataValidation>
    <dataValidation sqref="I2:I20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CARE-001</t>
        </is>
      </c>
      <c r="B2" s="34" t="inlineStr">
        <is>
          <t>Care record list page loads</t>
        </is>
      </c>
      <c r="C2" s="34" t="inlineStr">
        <is>
          <t>Logged in as Super Admin, Admin, Manager, Staff</t>
        </is>
      </c>
      <c r="D2" s="34" t="inlineStr">
        <is>
          <t>1. Navigate to the Care record list page</t>
        </is>
      </c>
      <c r="E2" s="34" t="inlineStr">
        <is>
          <t>N/A</t>
        </is>
      </c>
      <c r="F2" s="34" t="inlineStr">
        <is>
          <t>Paginated care record list renders with expected columns</t>
        </is>
      </c>
      <c r="G2" s="35" t="inlineStr">
        <is>
          <t>GET /care-provided/page -&gt; HTTP 200; care provided list page rendered (HTML 12508 bytes).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CARE-002</t>
        </is>
      </c>
      <c r="B3" s="34" t="inlineStr">
        <is>
          <t>List care records via API</t>
        </is>
      </c>
      <c r="C3" s="34" t="inlineStr">
        <is>
          <t>Logged in as Super Admin, Admin, Manager, Staff</t>
        </is>
      </c>
      <c r="D3" s="34" t="inlineStr">
        <is>
          <t>1. Call GET list endpoint for care records</t>
        </is>
      </c>
      <c r="E3" s="34" t="inlineStr">
        <is>
          <t>N/A</t>
        </is>
      </c>
      <c r="F3" s="34" t="inlineStr">
        <is>
          <t>HTTP 200 with correctly structured JSON array/pagination metadata</t>
        </is>
      </c>
      <c r="G3" s="35" t="inlineStr">
        <is>
          <t>GET /care-provided?page_size=5 -&gt; HTTP 200; rows=5, total=39, pagination metadata present=True.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CARE-003</t>
        </is>
      </c>
      <c r="B4" s="34" t="inlineStr">
        <is>
          <t>Search/filter care records</t>
        </is>
      </c>
      <c r="C4" s="34" t="inlineStr">
        <is>
          <t>Multiple care record records exist</t>
        </is>
      </c>
      <c r="D4" s="34" t="inlineStr">
        <is>
          <t>1. Apply search/filter/status query params on the list endpoint</t>
        </is>
      </c>
      <c r="E4" s="34" t="inlineStr">
        <is>
          <t>Known keyword / status filter</t>
        </is>
      </c>
      <c r="F4" s="34" t="inlineStr">
        <is>
          <t>Only matching records are returned</t>
        </is>
      </c>
      <c r="G4" s="35" t="inlineStr">
        <is>
          <t>GET /care-provided?search=search689973cadb -&gt; HTTP 200; filtered rows=1 of 40 unfiltered and every row matches the filter (1/1); a non-matching value returns 0 rows. GET /care-provided binds search/status in handler List and CareProvidedRepository.List applies them as parameterised predicates shared by its Count and Find, so both the total and the rows are narrowed.</t>
        </is>
      </c>
      <c r="H4" s="37" t="inlineStr">
        <is>
          <t>Pass</t>
        </is>
      </c>
      <c r="I4" s="34" t="inlineStr">
        <is>
          <t>Medium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CARE-004</t>
        </is>
      </c>
      <c r="B5" s="34" t="inlineStr">
        <is>
          <t>View single care record by ID</t>
        </is>
      </c>
      <c r="C5" s="34" t="inlineStr">
        <is>
          <t>A care record record exists</t>
        </is>
      </c>
      <c r="D5" s="34" t="inlineStr">
        <is>
          <t>1. Call GET /:id for an existing record</t>
        </is>
      </c>
      <c r="E5" s="34" t="inlineStr">
        <is>
          <t>Valid record ID</t>
        </is>
      </c>
      <c r="F5" s="34" t="inlineStr">
        <is>
          <t>Full record details returned with HTTP 200</t>
        </is>
      </c>
      <c r="G5" s="35" t="inlineStr">
        <is>
          <t>GET /care-provided/d0738b3e-6ed8-4aba-9dae-c7fe0a8c6c30 -&gt; HTTP 200; full care provided record returned (success=true, id echoed=True).</t>
        </is>
      </c>
      <c r="H5" s="37" t="inlineStr">
        <is>
          <t>Pass</t>
        </is>
      </c>
      <c r="I5" s="34" t="inlineStr">
        <is>
          <t>High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CARE-005</t>
        </is>
      </c>
      <c r="B6" s="34" t="inlineStr">
        <is>
          <t>View non-existent care record</t>
        </is>
      </c>
      <c r="C6" s="34" t="inlineStr">
        <is>
          <t>N/A</t>
        </is>
      </c>
      <c r="D6" s="34" t="inlineStr">
        <is>
          <t>1. Call GET /:id with a random/invalid ID</t>
        </is>
      </c>
      <c r="E6" s="34" t="inlineStr">
        <is>
          <t>Invalid ID</t>
        </is>
      </c>
      <c r="F6" s="34" t="inlineStr">
        <is>
          <t>HTTP 404 Not Found returned</t>
        </is>
      </c>
      <c r="G6" s="35" t="inlineStr">
        <is>
          <t>GET /care-provided/f1f4a9de-c704-44db-b5c7-94390d4b7b98 (random UUID) -&gt; HTTP 404; message='Care provided record not found'.</t>
        </is>
      </c>
      <c r="H6" s="37" t="inlineStr">
        <is>
          <t>Pass</t>
        </is>
      </c>
      <c r="I6" s="34" t="inlineStr">
        <is>
          <t>Low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CARE-006</t>
        </is>
      </c>
      <c r="B7" s="34" t="inlineStr">
        <is>
          <t>Create care record - valid data</t>
        </is>
      </c>
      <c r="C7" s="34" t="inlineStr">
        <is>
          <t>Logged in as Super Admin, Admin, Manager, Staff</t>
        </is>
      </c>
      <c r="D7" s="34" t="inlineStr">
        <is>
          <t>1. Submit create form/API with all required fields valid</t>
        </is>
      </c>
      <c r="E7" s="34" t="inlineStr">
        <is>
          <t>Complete valid payload</t>
        </is>
      </c>
      <c r="F7" s="34" t="inlineStr">
        <is>
          <t>New care record is created and appears in the list; HTTP 201</t>
        </is>
      </c>
      <c r="G7" s="35" t="inlineStr">
        <is>
          <t>POST /care-provided -&gt; HTTP 201; the care provided row was created and is retrievable (id=78a16509-3594-4ed8-8fe4-16b2cbc6eb95, re-read OK=True).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CARE-007</t>
        </is>
      </c>
      <c r="B8" s="34" t="inlineStr">
        <is>
          <t>Create care record - missing required fields</t>
        </is>
      </c>
      <c r="C8" s="34" t="inlineStr">
        <is>
          <t>Logged in as Super Admin, Admin, Manager, Staff</t>
        </is>
      </c>
      <c r="D8" s="34" t="inlineStr">
        <is>
          <t>1. Submit create form/API omitting a required field</t>
        </is>
      </c>
      <c r="E8" s="34" t="inlineStr">
        <is>
          <t>Payload missing a mandatory field</t>
        </is>
      </c>
      <c r="F8" s="34" t="inlineStr">
        <is>
          <t>Validation error returned; no record created</t>
        </is>
      </c>
      <c r="G8" s="35" t="inlineStr">
        <is>
          <t>POST /care-provided omitting a required field -&gt; HTTP 400; message='Invalid care provided information'; no record created.</t>
        </is>
      </c>
      <c r="H8" s="37" t="inlineStr">
        <is>
          <t>Pass</t>
        </is>
      </c>
      <c r="I8" s="34" t="inlineStr">
        <is>
          <t>High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CARE-008</t>
        </is>
      </c>
      <c r="B9" s="34" t="inlineStr">
        <is>
          <t>Create care record - invalid field format</t>
        </is>
      </c>
      <c r="C9" s="34" t="inlineStr">
        <is>
          <t>Logged in as Super Admin, Admin, Manager, Staff</t>
        </is>
      </c>
      <c r="D9" s="34" t="inlineStr">
        <is>
          <t>1. Submit create with malformed data (e.g. bad date, negative amount, invalid email/phone)</t>
        </is>
      </c>
      <c r="E9" s="34" t="inlineStr">
        <is>
          <t>Malformed field value</t>
        </is>
      </c>
      <c r="F9" s="34" t="inlineStr">
        <is>
          <t>Validation error returned; no record created</t>
        </is>
      </c>
      <c r="G9" s="35" t="inlineStr">
        <is>
          <t>POST /care-provided with malformed data -&gt; unknown aid_request_id: HTTP 422 msg='failed to create care provided record: ERROR: insert or upda'; unknown person_id: HTTP 422 msg='failed to create care provided record: ERROR: insert or upda'; unsupported care type: HTTP 422 msg='invalid care type'; negative amount: HTTP 400 msg='Invalid care provided information'.</t>
        </is>
      </c>
      <c r="H9" s="37" t="inlineStr">
        <is>
          <t>Pass</t>
        </is>
      </c>
      <c r="I9" s="34" t="inlineStr">
        <is>
          <t>Medium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CARE-009</t>
        </is>
      </c>
      <c r="B10" s="34" t="inlineStr">
        <is>
          <t>Update care record - valid changes</t>
        </is>
      </c>
      <c r="C10" s="34" t="inlineStr">
        <is>
          <t>A care record record exists</t>
        </is>
      </c>
      <c r="D10" s="34" t="inlineStr">
        <is>
          <t>1. Submit PUT /:id with updated field values</t>
        </is>
      </c>
      <c r="E10" s="34" t="inlineStr">
        <is>
          <t>Valid updated payload</t>
        </is>
      </c>
      <c r="F10" s="34" t="inlineStr">
        <is>
          <t>Record updated; changes visible on subsequent GET</t>
        </is>
      </c>
      <c r="G10" s="35" t="inlineStr">
        <is>
          <t>PUT /care-provided/78a16509-3594-4ed8-8fe4-16b2cbc6eb95 -&gt; HTTP 200; re-read amount=2750 (expected 2750).</t>
        </is>
      </c>
      <c r="H10" s="37" t="inlineStr">
        <is>
          <t>Pass</t>
        </is>
      </c>
      <c r="I10" s="34" t="inlineStr">
        <is>
          <t>High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1" ht="75" customHeight="1" s="22">
      <c r="A11" s="34" t="inlineStr">
        <is>
          <t>CARE-010</t>
        </is>
      </c>
      <c r="B11" s="34" t="inlineStr">
        <is>
          <t>Update care record - invalid data</t>
        </is>
      </c>
      <c r="C11" s="34" t="inlineStr">
        <is>
          <t>A care record record exists</t>
        </is>
      </c>
      <c r="D11" s="34" t="inlineStr">
        <is>
          <t>1. Submit PUT /:id with invalid data</t>
        </is>
      </c>
      <c r="E11" s="34" t="inlineStr">
        <is>
          <t>Invalid payload</t>
        </is>
      </c>
      <c r="F11" s="34" t="inlineStr">
        <is>
          <t>Validation error returned; record left unchanged</t>
        </is>
      </c>
      <c r="G11" s="35" t="inlineStr">
        <is>
          <t>PUT /care-provided/78a16509-3594-4ed8-8fe4-16b2cbc6eb95 with invalid data -&gt; negative amount: HTTP 400, stored amount=2750; unsupported care type: HTTP 422, stored amount=2750 (value before the probes amount=2750).</t>
        </is>
      </c>
      <c r="H11" s="37" t="inlineStr">
        <is>
          <t>Pass</t>
        </is>
      </c>
      <c r="I11" s="34" t="inlineStr">
        <is>
          <t>Medium</t>
        </is>
      </c>
      <c r="J11" s="34" t="inlineStr">
        <is>
          <t>Cline (automated agent, HTTP-level execution)</t>
        </is>
      </c>
      <c r="K11" s="34" t="inlineStr">
        <is>
          <t>2026-09-29</t>
        </is>
      </c>
      <c r="L11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2" ht="75" customHeight="1" s="22">
      <c r="A12" s="34" t="inlineStr">
        <is>
          <t>CARE-011</t>
        </is>
      </c>
      <c r="B12" s="34" t="inlineStr">
        <is>
          <t>Update non-existent care record</t>
        </is>
      </c>
      <c r="C12" s="34" t="inlineStr">
        <is>
          <t>N/A</t>
        </is>
      </c>
      <c r="D12" s="34" t="inlineStr">
        <is>
          <t>1. Submit PUT /:id for a random/invalid ID</t>
        </is>
      </c>
      <c r="E12" s="34" t="inlineStr">
        <is>
          <t>Invalid ID</t>
        </is>
      </c>
      <c r="F12" s="34" t="inlineStr">
        <is>
          <t>HTTP 404 Not Found returned</t>
        </is>
      </c>
      <c r="G12" s="35" t="inlineStr">
        <is>
          <t>PUT /care-provided/0d928830-ec5f-46dd-955a-f3d816902233 (random UUID) -&gt; HTTP 404; message='Care provided record not found'.</t>
        </is>
      </c>
      <c r="H12" s="37" t="inlineStr">
        <is>
          <t>Pass</t>
        </is>
      </c>
      <c r="I12" s="34" t="inlineStr">
        <is>
          <t>Low</t>
        </is>
      </c>
      <c r="J12" s="34" t="inlineStr">
        <is>
          <t>Cline (automated agent, HTTP-level execution)</t>
        </is>
      </c>
      <c r="K12" s="34" t="inlineStr">
        <is>
          <t>2026-09-29</t>
        </is>
      </c>
      <c r="L1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3" ht="75" customHeight="1" s="22">
      <c r="A13" s="34" t="inlineStr">
        <is>
          <t>CARE-012</t>
        </is>
      </c>
      <c r="B13" s="34" t="inlineStr">
        <is>
          <t>Delete care record as authorized role</t>
        </is>
      </c>
      <c r="C13" s="34" t="inlineStr">
        <is>
          <t>Logged in as Super Admin, Admin; record exists</t>
        </is>
      </c>
      <c r="D13" s="34" t="inlineStr">
        <is>
          <t>1. Call DELETE /:id</t>
        </is>
      </c>
      <c r="E13" s="34" t="inlineStr">
        <is>
          <t>Valid record ID</t>
        </is>
      </c>
      <c r="F13" s="34" t="inlineStr">
        <is>
          <t>Record is deleted (or soft-deleted) and no longer appears in list</t>
        </is>
      </c>
      <c r="G13" s="35" t="inlineStr">
        <is>
          <t>DELETE /care-provided/f29a7beb-5477-42ba-8bef-d524bafcf72d as Admin -&gt; HTTP 200; re-read -&gt; HTTP 404; the record is gone from the module.</t>
        </is>
      </c>
      <c r="H13" s="37" t="inlineStr">
        <is>
          <t>Pass</t>
        </is>
      </c>
      <c r="I13" s="34" t="inlineStr">
        <is>
          <t>High</t>
        </is>
      </c>
      <c r="J13" s="34" t="inlineStr">
        <is>
          <t>Cline (automated agent, HTTP-level execution)</t>
        </is>
      </c>
      <c r="K13" s="34" t="inlineStr">
        <is>
          <t>2026-09-29</t>
        </is>
      </c>
      <c r="L1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4" ht="75" customHeight="1" s="22">
      <c r="A14" s="34" t="inlineStr">
        <is>
          <t>CARE-013</t>
        </is>
      </c>
      <c r="B14" s="34" t="inlineStr">
        <is>
          <t>Delete care record as unauthorized role</t>
        </is>
      </c>
      <c r="C14" s="34" t="inlineStr">
        <is>
          <t>Logged in as a role NOT in [Super Admin, Admin]</t>
        </is>
      </c>
      <c r="D14" s="34" t="inlineStr">
        <is>
          <t>1. Attempt DELETE /:id</t>
        </is>
      </c>
      <c r="E14" s="34" t="inlineStr">
        <is>
          <t>Valid record ID</t>
        </is>
      </c>
      <c r="F14" s="34" t="inlineStr">
        <is>
          <t>HTTP 403 Forbidden; record is not deleted</t>
        </is>
      </c>
      <c r="G14" s="35" t="inlineStr">
        <is>
          <t>DELETE /care-provided/e8bf2933-318f-4968-91a1-000f167430a9 as Donor -&gt; HTTP 403; the record was not deleted (Admin re-read -&gt; HTTP 200).</t>
        </is>
      </c>
      <c r="H14" s="37" t="inlineStr">
        <is>
          <t>Pass</t>
        </is>
      </c>
      <c r="I14" s="34" t="inlineStr">
        <is>
          <t>High</t>
        </is>
      </c>
      <c r="J14" s="34" t="inlineStr">
        <is>
          <t>Cline (automated agent, HTTP-level execution)</t>
        </is>
      </c>
      <c r="K14" s="34" t="inlineStr">
        <is>
          <t>2026-09-29</t>
        </is>
      </c>
      <c r="L1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5" ht="75" customHeight="1" s="22">
      <c r="A15" s="34" t="inlineStr">
        <is>
          <t>CARE-014</t>
        </is>
      </c>
      <c r="B15" s="34" t="inlineStr">
        <is>
          <t>Access care record module as unauthorized role</t>
        </is>
      </c>
      <c r="C15" s="34" t="inlineStr">
        <is>
          <t>Logged in as a role outside the allowed list</t>
        </is>
      </c>
      <c r="D15" s="34" t="inlineStr">
        <is>
          <t>1. Attempt to access list/create/update endpoints</t>
        </is>
      </c>
      <c r="E15" s="34" t="inlineStr">
        <is>
          <t>N/A</t>
        </is>
      </c>
      <c r="F15" s="34" t="inlineStr">
        <is>
          <t>HTTP 403 Forbidden or redirect; no data exposed</t>
        </is>
      </c>
      <c r="G15" s="35" t="inlineStr">
        <is>
          <t>Donor role: GET /care-provided -&gt; HTTP 403, POST /care-provided -&gt; HTTP 403; the 403 bodies expose no records.</t>
        </is>
      </c>
      <c r="H15" s="37" t="inlineStr">
        <is>
          <t>Pass</t>
        </is>
      </c>
      <c r="I15" s="34" t="inlineStr">
        <is>
          <t>High</t>
        </is>
      </c>
      <c r="J15" s="34" t="inlineStr">
        <is>
          <t>Cline (automated agent, HTTP-level execution)</t>
        </is>
      </c>
      <c r="K15" s="34" t="inlineStr">
        <is>
          <t>2026-09-29</t>
        </is>
      </c>
      <c r="L1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6" ht="75" customHeight="1" s="22">
      <c r="A16" s="34" t="inlineStr">
        <is>
          <t>CARE-015</t>
        </is>
      </c>
      <c r="B16" s="34" t="inlineStr">
        <is>
          <t>Access care record module while logged out</t>
        </is>
      </c>
      <c r="C16" s="34" t="inlineStr">
        <is>
          <t>No active session</t>
        </is>
      </c>
      <c r="D16" s="34" t="inlineStr">
        <is>
          <t>1. Attempt to access any /{entity.lower()} endpoint directly</t>
        </is>
      </c>
      <c r="E16" s="34" t="inlineStr">
        <is>
          <t>N/A</t>
        </is>
      </c>
      <c r="F16" s="34" t="inlineStr">
        <is>
          <t>Redirected to /login or HTTP 401 returned</t>
        </is>
      </c>
      <c r="G16" s="35" t="inlineStr">
        <is>
          <t>Without a session: GET /care-provided/page -&gt; HTTP 303 (redirect to /login); GET /care-provided (API) -&gt; HTTP 401.</t>
        </is>
      </c>
      <c r="H16" s="37" t="inlineStr">
        <is>
          <t>Pass</t>
        </is>
      </c>
      <c r="I16" s="34" t="inlineStr">
        <is>
          <t>High</t>
        </is>
      </c>
      <c r="J16" s="34" t="inlineStr">
        <is>
          <t>Cline (automated agent, HTTP-level execution)</t>
        </is>
      </c>
      <c r="K16" s="34" t="inlineStr">
        <is>
          <t>2026-09-29</t>
        </is>
      </c>
      <c r="L1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7" ht="75" customHeight="1" s="22">
      <c r="A17" s="34" t="inlineStr">
        <is>
          <t>CARE-016</t>
        </is>
      </c>
      <c r="B17" s="34" t="inlineStr">
        <is>
          <t>Update care-provided status</t>
        </is>
      </c>
      <c r="C17" s="34" t="inlineStr">
        <is>
          <t>A care record exists</t>
        </is>
      </c>
      <c r="D17" s="34" t="inlineStr">
        <is>
          <t>1. PATCH /care-provided/:id/status</t>
        </is>
      </c>
      <c r="E17" s="34" t="inlineStr">
        <is>
          <t>Valid status value</t>
        </is>
      </c>
      <c r="F17" s="34" t="inlineStr">
        <is>
          <t>Status updated and reflected in the beneficiary's care history</t>
        </is>
      </c>
      <c r="G17" s="35" t="inlineStr">
        <is>
          <t>PATCH /care-provided/78a16509-3594-4ed8-8fe4-16b2cbc6eb95/status {'status': 'Completed'} -&gt; HTTP 200; re-read status='Completed'. PATCH with the unsupported value 'In Progress' was rejected. A further PATCH {'status': 'In Progress'} -&gt; HTTP 422 and the status stayed 'Completed'.</t>
        </is>
      </c>
      <c r="H17" s="37" t="inlineStr">
        <is>
          <t>Pass</t>
        </is>
      </c>
      <c r="I17" s="34" t="inlineStr">
        <is>
          <t>Medium</t>
        </is>
      </c>
      <c r="J17" s="34" t="inlineStr">
        <is>
          <t>Cline (automated agent, HTTP-level execution)</t>
        </is>
      </c>
      <c r="K17" s="34" t="inlineStr">
        <is>
          <t>2026-09-29</t>
        </is>
      </c>
      <c r="L1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17"/>
  <dataValidations count="2">
    <dataValidation sqref="H2:H17" showDropDown="0" showInputMessage="0" showErrorMessage="0" allowBlank="0" type="list" errorStyle="stop" operator="between">
      <formula1>"Pass,Fail,Blocked,Not Executed"</formula1>
      <formula2>0</formula2>
    </dataValidation>
    <dataValidation sqref="I2:I17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L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REV-001</t>
        </is>
      </c>
      <c r="B2" s="34" t="inlineStr">
        <is>
          <t>Revenue list page loads</t>
        </is>
      </c>
      <c r="C2" s="34" t="inlineStr">
        <is>
          <t>Logged in as Super Admin/Admin/Manager/Staff</t>
        </is>
      </c>
      <c r="D2" s="34" t="inlineStr">
        <is>
          <t>1. Navigate to /revenue/page</t>
        </is>
      </c>
      <c r="E2" s="34" t="inlineStr">
        <is>
          <t>N/A</t>
        </is>
      </c>
      <c r="F2" s="34" t="inlineStr">
        <is>
          <t>Revenue entries render with amount, source and date columns</t>
        </is>
      </c>
      <c r="G2" s="35" t="inlineStr">
        <is>
          <t>GET /revenue/page -&gt; HTTP 200; revenue list page rendered (HTML 31669 bytes).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REV-002</t>
        </is>
      </c>
      <c r="B3" s="34" t="inlineStr">
        <is>
          <t>Revenue summaries endpoint returns correct totals</t>
        </is>
      </c>
      <c r="C3" s="34" t="inlineStr">
        <is>
          <t>Revenue data seeded for a date range</t>
        </is>
      </c>
      <c r="D3" s="34" t="inlineStr">
        <is>
          <t>1. Call GET /revenue/summaries with a date range filter</t>
        </is>
      </c>
      <c r="E3" s="34" t="inlineStr">
        <is>
          <t>Known date range</t>
        </is>
      </c>
      <c r="F3" s="34" t="inlineStr">
        <is>
          <t>Returned totals match the sum of underlying revenue records for that range</t>
        </is>
      </c>
      <c r="G3" s="35" t="inlineStr">
        <is>
          <t>GET /revenue/summaries (daily bucket) -&gt; income 10938.24 -&gt; 12172.8 after adding a 1234.56 donation and expenses 938.24 -&gt; 1172.8 after adding a 234.56 expense; net 10000.0 -&gt; 11000.0.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REV-003</t>
        </is>
      </c>
      <c r="B4" s="34" t="inlineStr">
        <is>
          <t>View single revenue record</t>
        </is>
      </c>
      <c r="C4" s="34" t="inlineStr">
        <is>
          <t>A revenue record exists</t>
        </is>
      </c>
      <c r="D4" s="34" t="inlineStr">
        <is>
          <t>1. Call GET /:id</t>
        </is>
      </c>
      <c r="E4" s="34" t="inlineStr">
        <is>
          <t>Valid ID</t>
        </is>
      </c>
      <c r="F4" s="34" t="inlineStr">
        <is>
          <t>Full revenue record detail returned</t>
        </is>
      </c>
      <c r="G4" s="35" t="inlineStr">
        <is>
          <t>POST /revenue -&gt; HTTP 201 (id=38c8dcd4-6ba2-4a1c-a154-174161859ced); GET /revenue/38c8dcd4-6ba2-4a1c-a154-174161859ced -&gt; HTTP 200 with the record echoed.</t>
        </is>
      </c>
      <c r="H4" s="37" t="inlineStr">
        <is>
          <t>Pass</t>
        </is>
      </c>
      <c r="I4" s="34" t="inlineStr">
        <is>
          <t>Medium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REV-004</t>
        </is>
      </c>
      <c r="B5" s="34" t="inlineStr">
        <is>
          <t>Update revenue record</t>
        </is>
      </c>
      <c r="C5" s="34" t="inlineStr">
        <is>
          <t>A revenue record exists</t>
        </is>
      </c>
      <c r="D5" s="34" t="inlineStr">
        <is>
          <t>1. PUT /:id with updated amount/category</t>
        </is>
      </c>
      <c r="E5" s="34" t="inlineStr">
        <is>
          <t>Valid updated payload</t>
        </is>
      </c>
      <c r="F5" s="34" t="inlineStr">
        <is>
          <t>Record updated; totals/summaries recalculate correctly</t>
        </is>
      </c>
      <c r="G5" s="35" t="inlineStr">
        <is>
          <t>PUT /revenue/38c8dcd4-6ba2-4a1c-a154-174161859ced (amount 1500 -&gt; 1777) -&gt; HTTP 200; re-read amount='1777'.</t>
        </is>
      </c>
      <c r="H5" s="37" t="inlineStr">
        <is>
          <t>Pass</t>
        </is>
      </c>
      <c r="I5" s="34" t="inlineStr">
        <is>
          <t>Medium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REV-005</t>
        </is>
      </c>
      <c r="B6" s="34" t="inlineStr">
        <is>
          <t>Update revenue with invalid amount</t>
        </is>
      </c>
      <c r="C6" s="34" t="inlineStr">
        <is>
          <t>A revenue record exists</t>
        </is>
      </c>
      <c r="D6" s="34" t="inlineStr">
        <is>
          <t>1. PUT /:id with negative/zero amount</t>
        </is>
      </c>
      <c r="E6" s="34" t="inlineStr">
        <is>
          <t>Invalid amount</t>
        </is>
      </c>
      <c r="F6" s="34" t="inlineStr">
        <is>
          <t>Validation error returned; record unchanged</t>
        </is>
      </c>
      <c r="G6" s="35" t="inlineStr">
        <is>
          <t>PUT /revenue/38c8dcd4-6ba2-4a1c-a154-174161859ced with amount=-1777 -&gt; HTTP 422 (message='revenue amount must be greater than zero'); the stored amount stayed '1777'.</t>
        </is>
      </c>
      <c r="H6" s="37" t="inlineStr">
        <is>
          <t>Pass</t>
        </is>
      </c>
      <c r="I6" s="34" t="inlineStr">
        <is>
          <t>Medium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REV-006</t>
        </is>
      </c>
      <c r="B7" s="34" t="inlineStr">
        <is>
          <t>Delete revenue record</t>
        </is>
      </c>
      <c r="C7" s="34" t="inlineStr">
        <is>
          <t>Logged in as Super Admin/Admin; record exists</t>
        </is>
      </c>
      <c r="D7" s="34" t="inlineStr">
        <is>
          <t>1. DELETE /:id</t>
        </is>
      </c>
      <c r="E7" s="34" t="inlineStr">
        <is>
          <t>Valid ID</t>
        </is>
      </c>
      <c r="F7" s="34" t="inlineStr">
        <is>
          <t>Record deleted and removed from summaries/reports</t>
        </is>
      </c>
      <c r="G7" s="35" t="inlineStr">
        <is>
          <t>DELETE /revenue/38c8dcd4-6ba2-4a1c-a154-174161859ced as Admin -&gt; HTTP 200; re-read -&gt; HTTP 404 (the record is gone).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REV-007</t>
        </is>
      </c>
      <c r="B8" s="34" t="inlineStr">
        <is>
          <t>Non-admin cannot delete revenue record</t>
        </is>
      </c>
      <c r="C8" s="34" t="inlineStr">
        <is>
          <t>Logged in as Manager/Staff</t>
        </is>
      </c>
      <c r="D8" s="34" t="inlineStr">
        <is>
          <t>1. Attempt DELETE /:id</t>
        </is>
      </c>
      <c r="E8" s="34" t="inlineStr">
        <is>
          <t>N/A</t>
        </is>
      </c>
      <c r="F8" s="34" t="inlineStr">
        <is>
          <t>HTTP 403 Forbidden; record retained</t>
        </is>
      </c>
      <c r="G8" s="35" t="inlineStr">
        <is>
          <t>DELETE /revenue/c7d47250-662d-4970-b42f-8fb1e8dc9678 as Manager -&gt; HTTP 403 (revenue is Super Admin/Admin only); the record still exists (Admin re-read -&gt; HTTP 200).</t>
        </is>
      </c>
      <c r="H8" s="37" t="inlineStr">
        <is>
          <t>Pass</t>
        </is>
      </c>
      <c r="I8" s="34" t="inlineStr">
        <is>
          <t>High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8"/>
  <dataValidations count="2">
    <dataValidation sqref="H2:H8" showDropDown="0" showInputMessage="0" showErrorMessage="0" allowBlank="0" type="list" errorStyle="stop" operator="between">
      <formula1>"Pass,Fail,Blocked,Not Executed"</formula1>
      <formula2>0</formula2>
    </dataValidation>
    <dataValidation sqref="I2:I8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L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MSG-001</t>
        </is>
      </c>
      <c r="B2" s="34" t="inlineStr">
        <is>
          <t>Messages page loads</t>
        </is>
      </c>
      <c r="C2" s="34" t="inlineStr">
        <is>
          <t>Logged in user</t>
        </is>
      </c>
      <c r="D2" s="34" t="inlineStr">
        <is>
          <t>1. Navigate to /messages/page</t>
        </is>
      </c>
      <c r="E2" s="34" t="inlineStr">
        <is>
          <t>N/A</t>
        </is>
      </c>
      <c r="F2" s="34" t="inlineStr">
        <is>
          <t>Inbox/sent tabs render correctly</t>
        </is>
      </c>
      <c r="G2" s="35" t="inlineStr">
        <is>
          <t>GET /messages/page -&gt; HTTP 200; messages page rendered (HTML 12271 bytes).</t>
        </is>
      </c>
      <c r="H2" s="37" t="inlineStr">
        <is>
          <t>Pass</t>
        </is>
      </c>
      <c r="I2" s="34" t="inlineStr">
        <is>
          <t>Medium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MSG-002</t>
        </is>
      </c>
      <c r="B3" s="34" t="inlineStr">
        <is>
          <t>Get recipients list</t>
        </is>
      </c>
      <c r="C3" s="34" t="inlineStr">
        <is>
          <t>Logged in user</t>
        </is>
      </c>
      <c r="D3" s="34" t="inlineStr">
        <is>
          <t>1. Call GET /messages/recipients</t>
        </is>
      </c>
      <c r="E3" s="34" t="inlineStr">
        <is>
          <t>N/A</t>
        </is>
      </c>
      <c r="F3" s="34" t="inlineStr">
        <is>
          <t>List of valid recipients (per role visibility rules) returned</t>
        </is>
      </c>
      <c r="G3" s="35" t="inlineStr">
        <is>
          <t>GET /messages/recipients -&gt; HTTP 200; 93 selectable recipients (qa_staff present=True); the caller's own account is filtered out.</t>
        </is>
      </c>
      <c r="H3" s="37" t="inlineStr">
        <is>
          <t>Pass</t>
        </is>
      </c>
      <c r="I3" s="34" t="inlineStr">
        <is>
          <t>Medium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MSG-003</t>
        </is>
      </c>
      <c r="B4" s="34" t="inlineStr">
        <is>
          <t>Send a message to a valid recipient</t>
        </is>
      </c>
      <c r="C4" s="34" t="inlineStr">
        <is>
          <t>At least one valid recipient exists</t>
        </is>
      </c>
      <c r="D4" s="34" t="inlineStr">
        <is>
          <t>1. Compose and send a message via POST endpoint</t>
        </is>
      </c>
      <c r="E4" s="34" t="inlineStr">
        <is>
          <t>Valid recipient + message body</t>
        </is>
      </c>
      <c r="F4" s="34" t="inlineStr">
        <is>
          <t>Message is created and appears in recipient's inbox and sender's sent folder</t>
        </is>
      </c>
      <c r="G4" s="35" t="inlineStr">
        <is>
          <t>POST /messages (Admin -&gt; qa_staff) -&gt; HTTP 201; the message is listed in the sender's outbox (id=407ac371-a841-441b-8a60-cad85491ce85).</t>
        </is>
      </c>
      <c r="H4" s="37" t="inlineStr">
        <is>
          <t>Pass</t>
        </is>
      </c>
      <c r="I4" s="34" t="inlineStr">
        <is>
          <t>High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MSG-004</t>
        </is>
      </c>
      <c r="B5" s="34" t="inlineStr">
        <is>
          <t>View inbox</t>
        </is>
      </c>
      <c r="C5" s="34" t="inlineStr">
        <is>
          <t>Messages received</t>
        </is>
      </c>
      <c r="D5" s="34" t="inlineStr">
        <is>
          <t>1. Call GET /messages/inbox</t>
        </is>
      </c>
      <c r="E5" s="34" t="inlineStr">
        <is>
          <t>N/A</t>
        </is>
      </c>
      <c r="F5" s="34" t="inlineStr">
        <is>
          <t>All received messages listed, newest first</t>
        </is>
      </c>
      <c r="G5" s="35" t="inlineStr">
        <is>
          <t>GET /messages/inbox as the recipient -&gt; HTTP 200; the message 'QA message msg68997354c0' is present in the inbox (10 rows).</t>
        </is>
      </c>
      <c r="H5" s="37" t="inlineStr">
        <is>
          <t>Pass</t>
        </is>
      </c>
      <c r="I5" s="34" t="inlineStr">
        <is>
          <t>High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MSG-005</t>
        </is>
      </c>
      <c r="B6" s="34" t="inlineStr">
        <is>
          <t>View sent messages</t>
        </is>
      </c>
      <c r="C6" s="34" t="inlineStr">
        <is>
          <t>Messages sent by the user</t>
        </is>
      </c>
      <c r="D6" s="34" t="inlineStr">
        <is>
          <t>1. Call GET /messages/sent</t>
        </is>
      </c>
      <c r="E6" s="34" t="inlineStr">
        <is>
          <t>N/A</t>
        </is>
      </c>
      <c r="F6" s="34" t="inlineStr">
        <is>
          <t>All sent messages listed correctly</t>
        </is>
      </c>
      <c r="G6" s="35" t="inlineStr">
        <is>
          <t>GET /messages/sent as the sender -&gt; HTTP 200; the message is present in the outbox (10 rows).</t>
        </is>
      </c>
      <c r="H6" s="37" t="inlineStr">
        <is>
          <t>Pass</t>
        </is>
      </c>
      <c r="I6" s="34" t="inlineStr">
        <is>
          <t>Medium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MSG-006</t>
        </is>
      </c>
      <c r="B7" s="34" t="inlineStr">
        <is>
          <t>View unread messages / unread count</t>
        </is>
      </c>
      <c r="C7" s="34" t="inlineStr">
        <is>
          <t>Unread messages exist</t>
        </is>
      </c>
      <c r="D7" s="34" t="inlineStr">
        <is>
          <t>1. Call GET /messages/unread and /messages/unread/count</t>
        </is>
      </c>
      <c r="E7" s="34" t="inlineStr">
        <is>
          <t>N/A</t>
        </is>
      </c>
      <c r="F7" s="34" t="inlineStr">
        <is>
          <t>Correct unread messages and matching count are returned</t>
        </is>
      </c>
      <c r="G7" s="35" t="inlineStr">
        <is>
          <t>GET /messages/unread/count -&gt; HTTP 200 (count=10); GET /messages/unread -&gt; HTTP 200 with 10 unread rows.</t>
        </is>
      </c>
      <c r="H7" s="37" t="inlineStr">
        <is>
          <t>Pass</t>
        </is>
      </c>
      <c r="I7" s="34" t="inlineStr">
        <is>
          <t>Medium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MSG-007</t>
        </is>
      </c>
      <c r="B8" s="34" t="inlineStr">
        <is>
          <t>View a single message by ID</t>
        </is>
      </c>
      <c r="C8" s="34" t="inlineStr">
        <is>
          <t>A message exists</t>
        </is>
      </c>
      <c r="D8" s="34" t="inlineStr">
        <is>
          <t>1. Call GET /messages/:id</t>
        </is>
      </c>
      <c r="E8" s="34" t="inlineStr">
        <is>
          <t>Valid message ID</t>
        </is>
      </c>
      <c r="F8" s="34" t="inlineStr">
        <is>
          <t>Full message content returned; message marked as read where applicable</t>
        </is>
      </c>
      <c r="G8" s="35" t="inlineStr">
        <is>
          <t>GET /messages/407ac371-a841-441b-8a60-cad85491ce85 as the recipient -&gt; HTTP 200; the message detail is returned (id echoed=True).</t>
        </is>
      </c>
      <c r="H8" s="37" t="inlineStr">
        <is>
          <t>Pass</t>
        </is>
      </c>
      <c r="I8" s="34" t="inlineStr">
        <is>
          <t>Medium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MSG-008</t>
        </is>
      </c>
      <c r="B9" s="34" t="inlineStr">
        <is>
          <t>Mark message as read</t>
        </is>
      </c>
      <c r="C9" s="34" t="inlineStr">
        <is>
          <t>An unread message exists</t>
        </is>
      </c>
      <c r="D9" s="34" t="inlineStr">
        <is>
          <t>1. PATCH /messages/:id/read</t>
        </is>
      </c>
      <c r="E9" s="34" t="inlineStr">
        <is>
          <t>N/A</t>
        </is>
      </c>
      <c r="F9" s="34" t="inlineStr">
        <is>
          <t>Message status changes to read; unread count decreases by 1</t>
        </is>
      </c>
      <c r="G9" s="35" t="inlineStr">
        <is>
          <t>PATCH /messages/407ac371-a841-441b-8a60-cad85491ce85/read -&gt; HTTP 200; re-read is_read=True (expected True).</t>
        </is>
      </c>
      <c r="H9" s="37" t="inlineStr">
        <is>
          <t>Pass</t>
        </is>
      </c>
      <c r="I9" s="34" t="inlineStr">
        <is>
          <t>Medium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MSG-009</t>
        </is>
      </c>
      <c r="B10" s="34" t="inlineStr">
        <is>
          <t>Delete a message</t>
        </is>
      </c>
      <c r="C10" s="34" t="inlineStr">
        <is>
          <t>A message exists</t>
        </is>
      </c>
      <c r="D10" s="34" t="inlineStr">
        <is>
          <t>1. DELETE /messages/:id</t>
        </is>
      </c>
      <c r="E10" s="34" t="inlineStr">
        <is>
          <t>Valid message ID</t>
        </is>
      </c>
      <c r="F10" s="34" t="inlineStr">
        <is>
          <t>Message removed from the user's view</t>
        </is>
      </c>
      <c r="G10" s="35" t="inlineStr">
        <is>
          <t>DELETE /messages/407ac371-a841-441b-8a60-cad85491ce85 as the recipient -&gt; HTTP 200; re-read -&gt; HTTP 404 (the message is removed from the user's mailbox).</t>
        </is>
      </c>
      <c r="H10" s="37" t="inlineStr">
        <is>
          <t>Pass</t>
        </is>
      </c>
      <c r="I10" s="34" t="inlineStr">
        <is>
          <t>Medium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1" ht="75" customHeight="1" s="22">
      <c r="A11" s="34" t="inlineStr">
        <is>
          <t>MSG-010</t>
        </is>
      </c>
      <c r="B11" s="34" t="inlineStr">
        <is>
          <t>Cannot view another user's private message</t>
        </is>
      </c>
      <c r="C11" s="34" t="inlineStr">
        <is>
          <t>Two users, message belongs to user A</t>
        </is>
      </c>
      <c r="D11" s="34" t="inlineStr">
        <is>
          <t>1. As user B, call GET /messages/:id for user A's message</t>
        </is>
      </c>
      <c r="E11" s="34" t="inlineStr">
        <is>
          <t>Message ID belonging to another user</t>
        </is>
      </c>
      <c r="F11" s="34" t="inlineStr">
        <is>
          <t>HTTP 403/404; message content not exposed</t>
        </is>
      </c>
      <c r="G11" s="35" t="inlineStr">
        <is>
          <t>GET /messages/ec6d6c21-245b-4b0b-abda-d9cadfdc6651 (Admin -&gt; qa_staff) as the Donor role -&gt; HTTP 404; another user's private message is not readable (message='message not found').</t>
        </is>
      </c>
      <c r="H11" s="37" t="inlineStr">
        <is>
          <t>Pass</t>
        </is>
      </c>
      <c r="I11" s="34" t="inlineStr">
        <is>
          <t>High</t>
        </is>
      </c>
      <c r="J11" s="34" t="inlineStr">
        <is>
          <t>Cline (automated agent, HTTP-level execution)</t>
        </is>
      </c>
      <c r="K11" s="34" t="inlineStr">
        <is>
          <t>2026-09-29</t>
        </is>
      </c>
      <c r="L11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11"/>
  <dataValidations count="2">
    <dataValidation sqref="H2:H11" showDropDown="0" showInputMessage="0" showErrorMessage="0" allowBlank="0" type="list" errorStyle="stop" operator="between">
      <formula1>"Pass,Fail,Blocked,Not Executed"</formula1>
      <formula2>0</formula2>
    </dataValidation>
    <dataValidation sqref="I2:I11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NOT-001</t>
        </is>
      </c>
      <c r="B2" s="34" t="inlineStr">
        <is>
          <t>Notifications page loads</t>
        </is>
      </c>
      <c r="C2" s="34" t="inlineStr">
        <is>
          <t>Logged in user</t>
        </is>
      </c>
      <c r="D2" s="34" t="inlineStr">
        <is>
          <t>1. Navigate to /notifications/page</t>
        </is>
      </c>
      <c r="E2" s="34" t="inlineStr">
        <is>
          <t>N/A</t>
        </is>
      </c>
      <c r="F2" s="34" t="inlineStr">
        <is>
          <t>List of notifications renders with read/unread indicators</t>
        </is>
      </c>
      <c r="G2" s="35" t="inlineStr">
        <is>
          <t>GET /notifications/page -&gt; HTTP 200; notifications page rendered (HTML 11321 bytes).</t>
        </is>
      </c>
      <c r="H2" s="37" t="inlineStr">
        <is>
          <t>Pass</t>
        </is>
      </c>
      <c r="I2" s="34" t="inlineStr">
        <is>
          <t>Medium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NOT-002</t>
        </is>
      </c>
      <c r="B3" s="34" t="inlineStr">
        <is>
          <t>View a single notification</t>
        </is>
      </c>
      <c r="C3" s="34" t="inlineStr">
        <is>
          <t>A notification exists</t>
        </is>
      </c>
      <c r="D3" s="34" t="inlineStr">
        <is>
          <t>1. Call GET /notifications/:id</t>
        </is>
      </c>
      <c r="E3" s="34" t="inlineStr">
        <is>
          <t>Valid notification ID</t>
        </is>
      </c>
      <c r="F3" s="34" t="inlineStr">
        <is>
          <t>Notification detail returned correctly</t>
        </is>
      </c>
      <c r="G3" s="35" t="inlineStr">
        <is>
          <t>POST /notifications then GET /notifications/87a8b62d-faa2-41f0-9439-e129a4996230 -&gt; HTTP 200; the record is returned for its owner (id echoed=True).</t>
        </is>
      </c>
      <c r="H3" s="37" t="inlineStr">
        <is>
          <t>Pass</t>
        </is>
      </c>
      <c r="I3" s="34" t="inlineStr">
        <is>
          <t>Medium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NOT-003</t>
        </is>
      </c>
      <c r="B4" s="34" t="inlineStr">
        <is>
          <t>Mark notification as read</t>
        </is>
      </c>
      <c r="C4" s="34" t="inlineStr">
        <is>
          <t>An unread notification exists</t>
        </is>
      </c>
      <c r="D4" s="34" t="inlineStr">
        <is>
          <t>1. PATCH /notifications/:id/read</t>
        </is>
      </c>
      <c r="E4" s="34" t="inlineStr">
        <is>
          <t>N/A</t>
        </is>
      </c>
      <c r="F4" s="34" t="inlineStr">
        <is>
          <t>Notification marked as read; unread badge count decreases</t>
        </is>
      </c>
      <c r="G4" s="35" t="inlineStr">
        <is>
          <t>PATCH /notifications/87a8b62d-faa2-41f0-9439-e129a4996230/read -&gt; HTTP 200; re-read is_read=True (expected True).</t>
        </is>
      </c>
      <c r="H4" s="37" t="inlineStr">
        <is>
          <t>Pass</t>
        </is>
      </c>
      <c r="I4" s="34" t="inlineStr">
        <is>
          <t>Medium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NOT-004</t>
        </is>
      </c>
      <c r="B5" s="34" t="inlineStr">
        <is>
          <t>Delete a notification</t>
        </is>
      </c>
      <c r="C5" s="34" t="inlineStr">
        <is>
          <t>A notification exists</t>
        </is>
      </c>
      <c r="D5" s="34" t="inlineStr">
        <is>
          <t>1. DELETE /notifications/:id</t>
        </is>
      </c>
      <c r="E5" s="34" t="inlineStr">
        <is>
          <t>Valid notification ID</t>
        </is>
      </c>
      <c r="F5" s="34" t="inlineStr">
        <is>
          <t>Notification removed from the list</t>
        </is>
      </c>
      <c r="G5" s="35" t="inlineStr">
        <is>
          <t>DELETE /notifications/87a8b62d-faa2-41f0-9439-e129a4996230 as the owner -&gt; HTTP 200; re-read -&gt; HTTP 404 (the notification is gone).</t>
        </is>
      </c>
      <c r="H5" s="37" t="inlineStr">
        <is>
          <t>Pass</t>
        </is>
      </c>
      <c r="I5" s="34" t="inlineStr">
        <is>
          <t>Low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NOT-005</t>
        </is>
      </c>
      <c r="B6" s="34" t="inlineStr">
        <is>
          <t>System-triggered notifications are generated</t>
        </is>
      </c>
      <c r="C6" s="34" t="inlineStr">
        <is>
          <t>An action that triggers a notification occurs (e.g. aid request approved)</t>
        </is>
      </c>
      <c r="D6" s="34" t="inlineStr">
        <is>
          <t>1. Perform the triggering action
2. Check recipient's notifications</t>
        </is>
      </c>
      <c r="E6" s="34" t="inlineStr">
        <is>
          <t>N/A</t>
        </is>
      </c>
      <c r="F6" s="34" t="inlineStr">
        <is>
          <t>A corresponding notification is created for the correct recipient(s)</t>
        </is>
      </c>
      <c r="G6" s="35" t="inlineStr">
        <is>
          <t>POST /aid-requests -&gt; HTTP 201; the owner's notification count went 112 -&gt; 113 and a system notification was generated (titles=['Aid Request Created', 'Aid Request Created', 'Aid Request Cancelled']).</t>
        </is>
      </c>
      <c r="H6" s="37" t="inlineStr">
        <is>
          <t>Pass</t>
        </is>
      </c>
      <c r="I6" s="34" t="inlineStr">
        <is>
          <t>High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NOT-006</t>
        </is>
      </c>
      <c r="B7" s="34" t="inlineStr">
        <is>
          <t>Cannot access another user's notification</t>
        </is>
      </c>
      <c r="C7" s="34" t="inlineStr">
        <is>
          <t>Notification belongs to user A</t>
        </is>
      </c>
      <c r="D7" s="34" t="inlineStr">
        <is>
          <t>1. As user B, call GET /notifications/:id for user A's notification</t>
        </is>
      </c>
      <c r="E7" s="34" t="inlineStr">
        <is>
          <t>Notification ID belonging to another user</t>
        </is>
      </c>
      <c r="F7" s="34" t="inlineStr">
        <is>
          <t>HTTP 403/404; content not exposed</t>
        </is>
      </c>
      <c r="G7" s="35" t="inlineStr">
        <is>
          <t>GET /notifications/262a28f3-71e9-45de-9521-b8505b5bf2ba (owned by qa_admin) as the Donor role -&gt; HTTP 404 (message='Notification not found'); notifications are scoped to their owner.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7"/>
  <dataValidations count="2">
    <dataValidation sqref="H2:H7" showDropDown="0" showInputMessage="0" showErrorMessage="0" allowBlank="0" type="list" errorStyle="stop" operator="between">
      <formula1>"Pass,Fail,Blocked,Not Executed"</formula1>
      <formula2>0</formula2>
    </dataValidation>
    <dataValidation sqref="I2:I7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FILE-001</t>
        </is>
      </c>
      <c r="B2" s="34" t="inlineStr">
        <is>
          <t>File upload page loads</t>
        </is>
      </c>
      <c r="C2" s="34" t="inlineStr">
        <is>
          <t>Logged in authorized user</t>
        </is>
      </c>
      <c r="D2" s="34" t="inlineStr">
        <is>
          <t>1. Navigate to /files/page</t>
        </is>
      </c>
      <c r="E2" s="34" t="inlineStr">
        <is>
          <t>N/A</t>
        </is>
      </c>
      <c r="F2" s="34" t="inlineStr">
        <is>
          <t>Upload form and existing file list render correctly</t>
        </is>
      </c>
      <c r="G2" s="35" t="inlineStr">
        <is>
          <t>GET /files/page -&gt; HTTP 200; upload form present=True (HTML 9655 bytes).</t>
        </is>
      </c>
      <c r="H2" s="37" t="inlineStr">
        <is>
          <t>Pass</t>
        </is>
      </c>
      <c r="I2" s="34" t="inlineStr">
        <is>
          <t>Medium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FILE-002</t>
        </is>
      </c>
      <c r="B3" s="34" t="inlineStr">
        <is>
          <t>Upload a valid file</t>
        </is>
      </c>
      <c r="C3" s="34" t="inlineStr">
        <is>
          <t>N/A</t>
        </is>
      </c>
      <c r="D3" s="34" t="inlineStr">
        <is>
          <t>1. POST /files/upload with an allowed file type/size</t>
        </is>
      </c>
      <c r="E3" s="34" t="inlineStr">
        <is>
          <t>Valid PDF/image within size limit</t>
        </is>
      </c>
      <c r="F3" s="34" t="inlineStr">
        <is>
          <t>File uploaded successfully; appears in file list with correct metadata</t>
        </is>
      </c>
      <c r="G3" s="35" t="inlineStr">
        <is>
          <t>POST /files/upload (1x1 PNG) -&gt; HTTP 201; file id=e78a0e02-f7c2-42ef-a438-373a162e75fb, upload response fields (original_name/content_type/size)=True, present in GET /files list=True with metadata keys ['content_type', 'created_at', 'id', 'original_name', 'size'].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FILE-003</t>
        </is>
      </c>
      <c r="B4" s="34" t="inlineStr">
        <is>
          <t>Upload rejected for disallowed file type</t>
        </is>
      </c>
      <c r="C4" s="34" t="inlineStr">
        <is>
          <t>N/A</t>
        </is>
      </c>
      <c r="D4" s="34" t="inlineStr">
        <is>
          <t>1. POST /files/upload with an executable/script file</t>
        </is>
      </c>
      <c r="E4" s="34" t="inlineStr">
        <is>
          <t>e.g. .exe or .sh file</t>
        </is>
      </c>
      <c r="F4" s="34" t="inlineStr">
        <is>
          <t>Upload rejected with an appropriate validation error</t>
        </is>
      </c>
      <c r="G4" s="35" t="inlineStr">
        <is>
          <t>POST /files/upload rejected inputs -&gt; .txt/text-plain HTTP 415 ('Unsupported file type'); .exe with PNG content HTTP 400 ('Unsupported file extension'); no unsupported file is stored.</t>
        </is>
      </c>
      <c r="H4" s="37" t="inlineStr">
        <is>
          <t>Pass</t>
        </is>
      </c>
      <c r="I4" s="34" t="inlineStr">
        <is>
          <t>High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FILE-004</t>
        </is>
      </c>
      <c r="B5" s="34" t="inlineStr">
        <is>
          <t>Upload rejected for oversized file</t>
        </is>
      </c>
      <c r="C5" s="34" t="inlineStr">
        <is>
          <t>N/A</t>
        </is>
      </c>
      <c r="D5" s="34" t="inlineStr">
        <is>
          <t>1. POST /files/upload with a file exceeding the max size limit</t>
        </is>
      </c>
      <c r="E5" s="34" t="inlineStr">
        <is>
          <t>Oversized file</t>
        </is>
      </c>
      <c r="F5" s="34" t="inlineStr">
        <is>
          <t>Upload rejected with a clear file-size error</t>
        </is>
      </c>
      <c r="G5" s="35" t="inlineStr">
        <is>
          <t>POST /files/upload with a 2500069 byte file -&gt; HTTP 413; message='Upload request must not exceed 2 MB plus multipart overhead' (limit: 2 MB plus multipart overhead).</t>
        </is>
      </c>
      <c r="H5" s="37" t="inlineStr">
        <is>
          <t>Pass</t>
        </is>
      </c>
      <c r="I5" s="34" t="inlineStr">
        <is>
          <t>Medium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FILE-005</t>
        </is>
      </c>
      <c r="B6" s="34" t="inlineStr">
        <is>
          <t>View/download an uploaded file</t>
        </is>
      </c>
      <c r="C6" s="34" t="inlineStr">
        <is>
          <t>A file has been uploaded</t>
        </is>
      </c>
      <c r="D6" s="34" t="inlineStr">
        <is>
          <t>1. Call GET /files/:id</t>
        </is>
      </c>
      <c r="E6" s="34" t="inlineStr">
        <is>
          <t>Valid file ID</t>
        </is>
      </c>
      <c r="F6" s="34" t="inlineStr">
        <is>
          <t>File is retrieved/downloaded correctly and matches the original</t>
        </is>
      </c>
      <c r="G6" s="35" t="inlineStr">
        <is>
          <t>GET /files/e78a0e02-f7c2-42ef-a438-373a162e75fb -&gt; HTTP 200; 69 bytes returned, byte-for-byte identical to the upload=True (sha256 equal=True).</t>
        </is>
      </c>
      <c r="H6" s="37" t="inlineStr">
        <is>
          <t>Pass</t>
        </is>
      </c>
      <c r="I6" s="34" t="inlineStr">
        <is>
          <t>Medium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FILE-006</t>
        </is>
      </c>
      <c r="B7" s="34" t="inlineStr">
        <is>
          <t>Delete an uploaded file</t>
        </is>
      </c>
      <c r="C7" s="34" t="inlineStr">
        <is>
          <t>A file has been uploaded</t>
        </is>
      </c>
      <c r="D7" s="34" t="inlineStr">
        <is>
          <t>1. Call DELETE /files/:id</t>
        </is>
      </c>
      <c r="E7" s="34" t="inlineStr">
        <is>
          <t>Valid file ID</t>
        </is>
      </c>
      <c r="F7" s="34" t="inlineStr">
        <is>
          <t>File is removed from storage and the file list</t>
        </is>
      </c>
      <c r="G7" s="35" t="inlineStr">
        <is>
          <t>DELETE /files/e78a0e02-f7c2-42ef-a438-373a162e75fb -&gt; HTTP 200; re-read -&gt; HTTP 404; still in the file list=False.</t>
        </is>
      </c>
      <c r="H7" s="37" t="inlineStr">
        <is>
          <t>Pass</t>
        </is>
      </c>
      <c r="I7" s="34" t="inlineStr">
        <is>
          <t>Medium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FILE-007</t>
        </is>
      </c>
      <c r="B8" s="34" t="inlineStr">
        <is>
          <t>File reconciliation report</t>
        </is>
      </c>
      <c r="C8" s="34" t="inlineStr">
        <is>
          <t>Multiple files uploaded across records</t>
        </is>
      </c>
      <c r="D8" s="34" t="inlineStr">
        <is>
          <t>1. Navigate to /files/reconciliation</t>
        </is>
      </c>
      <c r="E8" s="34" t="inlineStr">
        <is>
          <t>N/A</t>
        </is>
      </c>
      <c r="F8" s="34" t="inlineStr">
        <is>
          <t>Reconciliation view correctly flags orphaned/missing/mismatched file references</t>
        </is>
      </c>
      <c r="G8" s="35" t="inlineStr">
        <is>
          <t>GET /files/reconciliation -&gt; HTTP 200; flags present=missing_files=True, orphaned_files=True (0 missing / see payload).</t>
        </is>
      </c>
      <c r="H8" s="37" t="inlineStr">
        <is>
          <t>Pass</t>
        </is>
      </c>
      <c r="I8" s="34" t="inlineStr">
        <is>
          <t>Medium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FILE-008</t>
        </is>
      </c>
      <c r="B9" s="34" t="inlineStr">
        <is>
          <t>Access uploaded file belonging to another org/record without permission</t>
        </is>
      </c>
      <c r="C9" s="34" t="inlineStr">
        <is>
          <t>File tied to a record outside user's scope</t>
        </is>
      </c>
      <c r="D9" s="34" t="inlineStr">
        <is>
          <t>1. Attempt GET /files/:id for a file outside the user's access scope</t>
        </is>
      </c>
      <c r="E9" s="34" t="inlineStr">
        <is>
          <t>Out-of-scope file ID</t>
        </is>
      </c>
      <c r="F9" s="34" t="inlineStr">
        <is>
          <t>HTTP 403/404; file content not exposed</t>
        </is>
      </c>
      <c r="G9" s="35" t="inlineStr">
        <is>
          <t>GET /files/e78a0e02-f7c2-42ef-a438-373a162e75fb (owned by qa_admin) -&gt; Donor HTTP 403 (role gate), Super Admin HTTP 404 (owner-scoped download), no session HTTP 401; GET /files/e6215fe3-ba23-4a52-8738-89258b4615f3 (random UUID) as the owner -&gt; HTTP 404; foreign/absent file content is never exposed.</t>
        </is>
      </c>
      <c r="H9" s="37" t="inlineStr">
        <is>
          <t>Pass</t>
        </is>
      </c>
      <c r="I9" s="34" t="inlineStr">
        <is>
          <t>High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9"/>
  <dataValidations count="2">
    <dataValidation sqref="H2:H9" showDropDown="0" showInputMessage="0" showErrorMessage="0" allowBlank="0" type="list" errorStyle="stop" operator="between">
      <formula1>"Pass,Fail,Blocked,Not Executed"</formula1>
      <formula2>0</formula2>
    </dataValidation>
    <dataValidation sqref="I2:I9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L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RPT-001</t>
        </is>
      </c>
      <c r="B2" s="34" t="inlineStr">
        <is>
          <t>Reports page loads</t>
        </is>
      </c>
      <c r="C2" s="34" t="inlineStr">
        <is>
          <t>Logged in authorized user</t>
        </is>
      </c>
      <c r="D2" s="34" t="inlineStr">
        <is>
          <t>1. Navigate to /reports/page</t>
        </is>
      </c>
      <c r="E2" s="34" t="inlineStr">
        <is>
          <t>N/A</t>
        </is>
      </c>
      <c r="F2" s="34" t="inlineStr">
        <is>
          <t>List of available report types renders correctly</t>
        </is>
      </c>
      <c r="G2" s="35" t="inlineStr">
        <is>
          <t>GET /reports/page -&gt; HTTP 200; report catalogue rendered (HTML 12972 bytes, 15 report links).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RPT-002</t>
        </is>
      </c>
      <c r="B3" s="34" t="inlineStr">
        <is>
          <t>Generate a report (default parameters)</t>
        </is>
      </c>
      <c r="C3" s="34" t="inlineStr">
        <is>
          <t>Data exists for the report type</t>
        </is>
      </c>
      <c r="D3" s="34" t="inlineStr">
        <is>
          <t>1. Select a report type
2. Generate with default date range</t>
        </is>
      </c>
      <c r="E3" s="34" t="inlineStr">
        <is>
          <t>Default parameters</t>
        </is>
      </c>
      <c r="F3" s="34" t="inlineStr">
        <is>
          <t>Report renders with accurate data matching underlying records</t>
        </is>
      </c>
      <c r="G3" s="35" t="inlineStr">
        <is>
          <t>GET /api/reports/donations -&gt; HTTP 200; 20 row(s), summary.total_donations=167, first row amount='1600'.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RPT-003</t>
        </is>
      </c>
      <c r="B4" s="34" t="inlineStr">
        <is>
          <t>Generate a report with custom date range/filters</t>
        </is>
      </c>
      <c r="C4" s="34" t="inlineStr">
        <is>
          <t>Data exists spanning multiple periods</t>
        </is>
      </c>
      <c r="D4" s="34" t="inlineStr">
        <is>
          <t>1. Apply a custom date range and filters
2. Generate report</t>
        </is>
      </c>
      <c r="E4" s="34" t="inlineStr">
        <is>
          <t>Custom date range + filter</t>
        </is>
      </c>
      <c r="F4" s="34" t="inlineStr">
        <is>
          <t>Report reflects only data within the specified range/filter</t>
        </is>
      </c>
      <c r="G4" s="35" t="inlineStr">
        <is>
          <t>GET /api/reports/donations?from=2020-01-01&amp;to=2020-12-31 -&gt; HTTP 200; rows in range=0, rows outside the range=0; summary.total_donations=0 for the same range (expected 0) - internal/handlers/report_handler.go loadSummary(slug, filter) narrows the summary cards with the same filter loadRows(slug, filter) applies to the detail table, so the report reflects only the data inside the specified range.</t>
        </is>
      </c>
      <c r="H4" s="37" t="inlineStr">
        <is>
          <t>Pass</t>
        </is>
      </c>
      <c r="I4" s="34" t="inlineStr">
        <is>
          <t>High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RPT-004</t>
        </is>
      </c>
      <c r="B5" s="34" t="inlineStr">
        <is>
          <t>View report detail page</t>
        </is>
      </c>
      <c r="C5" s="34" t="inlineStr">
        <is>
          <t>A generated report exists</t>
        </is>
      </c>
      <c r="D5" s="34" t="inlineStr">
        <is>
          <t>1. Navigate to report detail view</t>
        </is>
      </c>
      <c r="E5" s="34" t="inlineStr">
        <is>
          <t>N/A</t>
        </is>
      </c>
      <c r="F5" s="34" t="inlineStr">
        <is>
          <t>Detailed breakdown renders correctly with correct totals/subtotals</t>
        </is>
      </c>
      <c r="G5" s="35" t="inlineStr">
        <is>
          <t>GET /reports/donations/page -&gt; HTTP 200; detail table present=True, summary total 466700 visible in the rendered page=True (HTML 13008 bytes).</t>
        </is>
      </c>
      <c r="H5" s="37" t="inlineStr">
        <is>
          <t>Pass</t>
        </is>
      </c>
      <c r="I5" s="34" t="inlineStr">
        <is>
          <t>Medium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RPT-005</t>
        </is>
      </c>
      <c r="B6" s="34" t="inlineStr">
        <is>
          <t>Report API returns correct JSON structure</t>
        </is>
      </c>
      <c r="C6" s="34" t="inlineStr">
        <is>
          <t>N/A</t>
        </is>
      </c>
      <c r="D6" s="34" t="inlineStr">
        <is>
          <t>1. Call GET /api/reports/ endpoint</t>
        </is>
      </c>
      <c r="E6" s="34" t="inlineStr">
        <is>
          <t>N/A</t>
        </is>
      </c>
      <c r="F6" s="34" t="inlineStr">
        <is>
          <t>HTTP 200 with well-formed JSON payload matching documented schema (see docs/swagger.json)</t>
        </is>
      </c>
      <c r="G6" s="35" t="inlineStr">
        <is>
          <t>GET /api/reports/donations -&gt; HTTP 200; keys=['data', 'message', 'pagination', 'success', 'summary'], pagination keys complete=True, success=True, no error/stack leak=True.</t>
        </is>
      </c>
      <c r="H6" s="37" t="inlineStr">
        <is>
          <t>Pass</t>
        </is>
      </c>
      <c r="I6" s="34" t="inlineStr">
        <is>
          <t>Medium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RPT-006</t>
        </is>
      </c>
      <c r="B7" s="34" t="inlineStr">
        <is>
          <t>Report figures reconcile with source modules</t>
        </is>
      </c>
      <c r="C7" s="34" t="inlineStr">
        <is>
          <t>Known seeded data across Donations/Loans/Aid Requests</t>
        </is>
      </c>
      <c r="D7" s="34" t="inlineStr">
        <is>
          <t>1. Compare report totals against Donations, Loans, and Aid Requests modules directly</t>
        </is>
      </c>
      <c r="E7" s="34" t="inlineStr">
        <is>
          <t>Seeded reference data</t>
        </is>
      </c>
      <c r="F7" s="34" t="inlineStr">
        <is>
          <t>All totals reconcile exactly; no discrepancies</t>
        </is>
      </c>
      <c r="G7" s="35" t="inlineStr">
        <is>
          <t>summary.total_donations=167 vs GET /donations pagination.total=167 vs walked module rows=167; sum(report rows)=466700.00 vs summary.total_amount=466700.00.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RPT-007</t>
        </is>
      </c>
      <c r="B8" s="34" t="inlineStr">
        <is>
          <t>Generate report with no matching data</t>
        </is>
      </c>
      <c r="C8" s="34" t="inlineStr">
        <is>
          <t>A date range with no records</t>
        </is>
      </c>
      <c r="D8" s="34" t="inlineStr">
        <is>
          <t>1. Generate report for an empty period</t>
        </is>
      </c>
      <c r="E8" s="34" t="inlineStr">
        <is>
          <t>Empty date range</t>
        </is>
      </c>
      <c r="F8" s="34" t="inlineStr">
        <is>
          <t>Report renders gracefully with a 'no data' state, not an error</t>
        </is>
      </c>
      <c r="G8" s="35" t="inlineStr">
        <is>
          <t>GET /api/reports/donations?from=2030-01-01&amp;to=2030-12-31 -&gt; HTTP 200; rows=0, pagination total=0, success=True (empty state, not an error).</t>
        </is>
      </c>
      <c r="H8" s="37" t="inlineStr">
        <is>
          <t>Pass</t>
        </is>
      </c>
      <c r="I8" s="34" t="inlineStr">
        <is>
          <t>Low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RPT-008</t>
        </is>
      </c>
      <c r="B9" s="34" t="inlineStr">
        <is>
          <t>Export/print report (if supported)</t>
        </is>
      </c>
      <c r="C9" s="34" t="inlineStr">
        <is>
          <t>A generated report exists</t>
        </is>
      </c>
      <c r="D9" s="34" t="inlineStr">
        <is>
          <t>1. Trigger export/print action</t>
        </is>
      </c>
      <c r="E9" s="34" t="inlineStr">
        <is>
          <t>N/A</t>
        </is>
      </c>
      <c r="F9" s="34" t="inlineStr">
        <is>
          <t>Exported file (PDF/CSV) matches the on-screen report data</t>
        </is>
      </c>
      <c r="G9" s="35" t="inlineStr">
        <is>
          <t>GET /reports/donations/pdf -&gt; HTTP 200; content-type application/pdf=True, magic=b'%PDF-', size=2937 bytes.</t>
        </is>
      </c>
      <c r="H9" s="37" t="inlineStr">
        <is>
          <t>Pass</t>
        </is>
      </c>
      <c r="I9" s="34" t="inlineStr">
        <is>
          <t>Low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RPT-009</t>
        </is>
      </c>
      <c r="B10" s="34" t="inlineStr">
        <is>
          <t>Unauthorized role cannot access reports</t>
        </is>
      </c>
      <c r="C10" s="34" t="inlineStr">
        <is>
          <t>Logged in as a role without report access</t>
        </is>
      </c>
      <c r="D10" s="34" t="inlineStr">
        <is>
          <t>1. Attempt to navigate to /reports/page</t>
        </is>
      </c>
      <c r="E10" s="34" t="inlineStr">
        <is>
          <t>N/A</t>
        </is>
      </c>
      <c r="F10" s="34" t="inlineStr">
        <is>
          <t>HTTP 403 Forbidden or redirect; report data not exposed</t>
        </is>
      </c>
      <c r="G10" s="35" t="inlineStr">
        <is>
          <t>Report authorization -&gt; Donor /reports/page -&gt; 403, Donor /api/reports/donations -&gt; 403; Manager platform /api/reports/users -&gt; 403, operational /api/reports/donations -&gt; 200; platform reports stay Super Admin/Admin only while operational reports remain open to Manager, and Donor sees no report data.</t>
        </is>
      </c>
      <c r="H10" s="37" t="inlineStr">
        <is>
          <t>Pass</t>
        </is>
      </c>
      <c r="I10" s="34" t="inlineStr">
        <is>
          <t>High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10"/>
  <dataValidations count="2">
    <dataValidation sqref="H2:H10" showDropDown="0" showInputMessage="0" showErrorMessage="0" allowBlank="0" type="list" errorStyle="stop" operator="between">
      <formula1>"Pass,Fail,Blocked,Not Executed"</formula1>
      <formula2>0</formula2>
    </dataValidation>
    <dataValidation sqref="I2:I10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L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AUD-001</t>
        </is>
      </c>
      <c r="B2" s="34" t="inlineStr">
        <is>
          <t>Audit logs page loads for Admin/Super Admin</t>
        </is>
      </c>
      <c r="C2" s="34" t="inlineStr">
        <is>
          <t>Logged in as Admin/Super Admin</t>
        </is>
      </c>
      <c r="D2" s="34" t="inlineStr">
        <is>
          <t>1. Navigate to /audit-logs/page</t>
        </is>
      </c>
      <c r="E2" s="34" t="inlineStr">
        <is>
          <t>N/A</t>
        </is>
      </c>
      <c r="F2" s="34" t="inlineStr">
        <is>
          <t>Audit log list renders with actor, action, entity and timestamp columns</t>
        </is>
      </c>
      <c r="G2" s="35" t="inlineStr">
        <is>
          <t>GET /audit-logs/page -&gt; HTTP 200; audit log page rendered (HTML 7270 bytes, container=True, title=True).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AUD-002</t>
        </is>
      </c>
      <c r="B3" s="34" t="inlineStr">
        <is>
          <t>List audit logs via API</t>
        </is>
      </c>
      <c r="C3" s="34" t="inlineStr">
        <is>
          <t>Logged in as Admin/Super Admin</t>
        </is>
      </c>
      <c r="D3" s="34" t="inlineStr">
        <is>
          <t>1. Call GET /audit-logs</t>
        </is>
      </c>
      <c r="E3" s="34" t="inlineStr">
        <is>
          <t>N/A</t>
        </is>
      </c>
      <c r="F3" s="34" t="inlineStr">
        <is>
          <t>HTTP 200 with paginated audit log entries</t>
        </is>
      </c>
      <c r="G3" s="35" t="inlineStr">
        <is>
          <t>GET /audit-logs?page_size=5 -&gt; HTTP 200; rows=5, pagination total=3524, first entry action='CREATE'.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AUD-003</t>
        </is>
      </c>
      <c r="B4" s="34" t="inlineStr">
        <is>
          <t>View single audit log entry</t>
        </is>
      </c>
      <c r="C4" s="34" t="inlineStr">
        <is>
          <t>An audit log entry exists</t>
        </is>
      </c>
      <c r="D4" s="34" t="inlineStr">
        <is>
          <t>1. Call GET /audit-logs/:id</t>
        </is>
      </c>
      <c r="E4" s="34" t="inlineStr">
        <is>
          <t>Valid log ID</t>
        </is>
      </c>
      <c r="F4" s="34" t="inlineStr">
        <is>
          <t>Full entry detail (before/after values where applicable) returned</t>
        </is>
      </c>
      <c r="G4" s="35" t="inlineStr">
        <is>
          <t>GET /audit-logs/326879ee-52f8-46b4-a265-5d02fb42f107 -&gt; HTTP 200; full entry returned (before/after keys present=True, id echoed=True); GET /audit-logs/451b431f-f292-4e3f-816c-b9b562b0903a (random UUID) -&gt; HTTP 404, message='Audit log not found'.</t>
        </is>
      </c>
      <c r="H4" s="37" t="inlineStr">
        <is>
          <t>Pass</t>
        </is>
      </c>
      <c r="I4" s="34" t="inlineStr">
        <is>
          <t>Medium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AUD-004</t>
        </is>
      </c>
      <c r="B5" s="34" t="inlineStr">
        <is>
          <t>Create/Update/Delete actions are logged</t>
        </is>
      </c>
      <c r="C5" s="34" t="inlineStr">
        <is>
          <t>N/A</t>
        </is>
      </c>
      <c r="D5" s="34" t="inlineStr">
        <is>
          <t>1. Perform a create, update, and delete action in any module
2. Check audit logs</t>
        </is>
      </c>
      <c r="E5" s="34" t="inlineStr">
        <is>
          <t>N/A</t>
        </is>
      </c>
      <c r="F5" s="34" t="inlineStr">
        <is>
          <t>Corresponding audit log entries are created accurately for each action with correct actor and timestamp</t>
        </is>
      </c>
      <c r="G5" s="35" t="inlineStr">
        <is>
          <t>POST /persons created id=d16b9503-8213-48ed-a920-8cece8be28ef; GET /audit-logs?entity=persons&amp;action=CREATE matched 1 row(s) - actor=36e26d8c-17e5-47d6-827f-18e88ff105e9, action='CREATE', entity='persons', timestamp='2026-09-29T19:24:00.164617+05:30'.</t>
        </is>
      </c>
      <c r="H5" s="37" t="inlineStr">
        <is>
          <t>Pass</t>
        </is>
      </c>
      <c r="I5" s="34" t="inlineStr">
        <is>
          <t>High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AUD-005</t>
        </is>
      </c>
      <c r="B6" s="34" t="inlineStr">
        <is>
          <t>Non-admin roles cannot access audit logs</t>
        </is>
      </c>
      <c r="C6" s="34" t="inlineStr">
        <is>
          <t>Logged in as Manager/Staff/Volunteer</t>
        </is>
      </c>
      <c r="D6" s="34" t="inlineStr">
        <is>
          <t>1. Attempt to access /audit-logs/page or API</t>
        </is>
      </c>
      <c r="E6" s="34" t="inlineStr">
        <is>
          <t>N/A</t>
        </is>
      </c>
      <c r="F6" s="34" t="inlineStr">
        <is>
          <t>HTTP 403 Forbidden; audit data not exposed</t>
        </is>
      </c>
      <c r="G6" s="35" t="inlineStr">
        <is>
          <t>GET /audit-logs + /audit-logs/page as non-admin roles -&gt; Manager: API 403, page 403; Donor: API 403, page 403; audit data not exposed.</t>
        </is>
      </c>
      <c r="H6" s="37" t="inlineStr">
        <is>
          <t>Pass</t>
        </is>
      </c>
      <c r="I6" s="34" t="inlineStr">
        <is>
          <t>High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AUD-006</t>
        </is>
      </c>
      <c r="B7" s="34" t="inlineStr">
        <is>
          <t>Audit logs are immutable</t>
        </is>
      </c>
      <c r="C7" s="34" t="inlineStr">
        <is>
          <t>An audit log entry exists</t>
        </is>
      </c>
      <c r="D7" s="34" t="inlineStr">
        <is>
          <t>1. Attempt to find any update/delete endpoint for audit logs</t>
        </is>
      </c>
      <c r="E7" s="34" t="inlineStr">
        <is>
          <t>N/A</t>
        </is>
      </c>
      <c r="F7" s="34" t="inlineStr">
        <is>
          <t>No update/delete endpoint exists; audit trail cannot be altered</t>
        </is>
      </c>
      <c r="G7" s="35" t="inlineStr">
        <is>
          <t>Tamper attempts (PUT /audit-logs/326879ee-52f8-46b4-a265-5d02fb42f107 -&gt; 404; DELETE /audit-logs/326879ee-52f8-46b4-a265-5d02fb42f107 -&gt; 404; POST /audit-logs -&gt; 404) - internal/routes/audit_log_routes.go registers only GET /audit-logs/page, GET /audit-logs and GET /audit-logs/:id, so no update/delete endpoint exists and the trail cannot be altered.</t>
        </is>
      </c>
      <c r="H7" s="37" t="inlineStr">
        <is>
          <t>Pass</t>
        </is>
      </c>
      <c r="I7" s="34" t="inlineStr">
        <is>
          <t>Medium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7"/>
  <dataValidations count="2">
    <dataValidation sqref="H2:H7" showDropDown="0" showInputMessage="0" showErrorMessage="0" allowBlank="0" type="list" errorStyle="stop" operator="between">
      <formula1>"Pass,Fail,Blocked,Not Executed"</formula1>
      <formula2>0</formula2>
    </dataValidation>
    <dataValidation sqref="I2:I7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L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SYNC-001</t>
        </is>
      </c>
      <c r="B2" s="34" t="inlineStr">
        <is>
          <t>Push local changes to server</t>
        </is>
      </c>
      <c r="C2" s="34" t="inlineStr">
        <is>
          <t>Client has offline changes queued</t>
        </is>
      </c>
      <c r="D2" s="34" t="inlineStr">
        <is>
          <t>1. Call POST /sync/push with a batch of local changes</t>
        </is>
      </c>
      <c r="E2" s="34" t="inlineStr">
        <is>
          <t>Valid change payload</t>
        </is>
      </c>
      <c r="F2" s="34" t="inlineStr">
        <is>
          <t>Server accepts and applies changes; returns success/conflict status per item</t>
        </is>
      </c>
      <c r="G2" s="35" t="inlineStr">
        <is>
          <t>POST /api/v1/sync/push (person CREATE, Idempotency-Key sent) -&gt; HTTP 200; results[0]={"operation_id": "32c1122e-c255-4af7-8a18-e0a71c7e2538", "entity_type": "person", "record_id": "d007199a-c7d0-4989-9381-fc2e2b751740", "success": true, "server_version": 1, "client; GET /persons/d007199a-c7d0-4989-9381-fc2e2b751740 -&gt; HTTP 200 (stored full_name='QA Sync push').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SYNC-002</t>
        </is>
      </c>
      <c r="B3" s="34" t="inlineStr">
        <is>
          <t>Pull server changes to client</t>
        </is>
      </c>
      <c r="C3" s="34" t="inlineStr">
        <is>
          <t>Server has newer data than client</t>
        </is>
      </c>
      <c r="D3" s="34" t="inlineStr">
        <is>
          <t>1. Call GET /sync/pull with client's last-sync timestamp/version</t>
        </is>
      </c>
      <c r="E3" s="34" t="inlineStr">
        <is>
          <t>Last sync token</t>
        </is>
      </c>
      <c r="F3" s="34" t="inlineStr">
        <is>
          <t>Server returns only the changes made since that point</t>
        </is>
      </c>
      <c r="G3" s="35" t="inlineStr">
        <is>
          <t>GET /api/v1/sync/pull?limit=10 -&gt; HTTP 200, 10 record(s), cursor=2026-09-17T15:41:01.147885Z~9e00e092-40ae-416f-8f24-5d4f2c161d33, has_more=True; second pull with that cursor -&gt; HTTP 200, 10 record(s), repeated record ids=0 (only changes after the cursor).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SYNC-003</t>
        </is>
      </c>
      <c r="B4" s="34" t="inlineStr">
        <is>
          <t>Conflict handling on push</t>
        </is>
      </c>
      <c r="C4" s="34" t="inlineStr">
        <is>
          <t>Same record modified both offline and on server</t>
        </is>
      </c>
      <c r="D4" s="34" t="inlineStr">
        <is>
          <t>1. Push a change that conflicts with a newer server-side change</t>
        </is>
      </c>
      <c r="E4" s="34" t="inlineStr">
        <is>
          <t>Conflicting payload</t>
        </is>
      </c>
      <c r="F4" s="34" t="inlineStr">
        <is>
          <t>Conflict is detected and resolved per the defined strategy (e.g. last-write-wins or explicit conflict response), not silently corrupted</t>
        </is>
      </c>
      <c r="G4" s="35" t="inlineStr">
        <is>
          <t>push CREATE -&gt; HTTP 200; stale UPDATE with client_version=99 -&gt; HTTP 409, results[0].code='SYNC_CONFLICT', server_version=1; re-read full_name='QA Sync conflict-create' (server copy is not silently overwritten).</t>
        </is>
      </c>
      <c r="H4" s="37" t="inlineStr">
        <is>
          <t>Pass</t>
        </is>
      </c>
      <c r="I4" s="34" t="inlineStr">
        <is>
          <t>High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SYNC-004</t>
        </is>
      </c>
      <c r="B5" s="34" t="inlineStr">
        <is>
          <t>Push with malformed payload</t>
        </is>
      </c>
      <c r="C5" s="34" t="inlineStr">
        <is>
          <t>N/A</t>
        </is>
      </c>
      <c r="D5" s="34" t="inlineStr">
        <is>
          <t>1. POST /sync/push with invalid/corrupted JSON</t>
        </is>
      </c>
      <c r="E5" s="34" t="inlineStr">
        <is>
          <t>Malformed payload</t>
        </is>
      </c>
      <c r="F5" s="34" t="inlineStr">
        <is>
          <t>Request rejected with a clear validation error; no partial/corrupt data applied</t>
        </is>
      </c>
      <c r="G5" s="35" t="inlineStr">
        <is>
          <t>push with a missing record_id -&gt; HTTP 400 (code='VALIDATION_FAILED', 'invalid sync request'); push without an Idempotency-Key -&gt; HTTP 400 (code='VALIDATION_FAILED'); GET /persons/6e103201-214b-4134-9246-262115f3fe95 -&gt; HTTP 404 (nothing was applied).</t>
        </is>
      </c>
      <c r="H5" s="37" t="inlineStr">
        <is>
          <t>Pass</t>
        </is>
      </c>
      <c r="I5" s="34" t="inlineStr">
        <is>
          <t>Medium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SYNC-005</t>
        </is>
      </c>
      <c r="B6" s="34" t="inlineStr">
        <is>
          <t>Pull with no new changes</t>
        </is>
      </c>
      <c r="C6" s="34" t="inlineStr">
        <is>
          <t>Client is already up to date</t>
        </is>
      </c>
      <c r="D6" s="34" t="inlineStr">
        <is>
          <t>1. Call GET /sync/pull</t>
        </is>
      </c>
      <c r="E6" s="34" t="inlineStr">
        <is>
          <t>Current sync token</t>
        </is>
      </c>
      <c r="F6" s="34" t="inlineStr">
        <is>
          <t>Empty change set returned; no errors</t>
        </is>
      </c>
      <c r="G6" s="35" t="inlineStr">
        <is>
          <t>GET /api/v1/sync/pull?cursor=2999-01-01T00:00:00Z -&gt; HTTP 200; records=0, success=True, has_more=False (empty change set, no error).</t>
        </is>
      </c>
      <c r="H6" s="37" t="inlineStr">
        <is>
          <t>Pass</t>
        </is>
      </c>
      <c r="I6" s="34" t="inlineStr">
        <is>
          <t>Low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SYNC-006</t>
        </is>
      </c>
      <c r="B7" s="34" t="inlineStr">
        <is>
          <t>Sync respects role/data-scope permissions</t>
        </is>
      </c>
      <c r="C7" s="34" t="inlineStr">
        <is>
          <t>Logged in as a restricted role</t>
        </is>
      </c>
      <c r="D7" s="34" t="inlineStr">
        <is>
          <t>1. Push/pull data outside the user's permitted scope</t>
        </is>
      </c>
      <c r="E7" s="34" t="inlineStr">
        <is>
          <t>Out-of-scope record</t>
        </is>
      </c>
      <c r="F7" s="34" t="inlineStr">
        <is>
          <t>Out-of-scope records are rejected/excluded rather than synced</t>
        </is>
      </c>
      <c r="G7" s="35" t="inlineStr">
        <is>
          <t>/api/v1/sync/pull + /push per role -&gt; Donor: pull 403, push 403; Manager: pull 403, push 403; Staff: pull 200, push 200; sync is Super Admin/Admin/Staff only (internal/routes/sync_routes.go) and out-of-scope roles are rejected with 403.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7"/>
  <dataValidations count="2">
    <dataValidation sqref="H2:H7" showDropDown="0" showInputMessage="0" showErrorMessage="0" allowBlank="0" type="list" errorStyle="stop" operator="between">
      <formula1>"Pass,Fail,Blocked,Not Executed"</formula1>
      <formula2>0</formula2>
    </dataValidation>
    <dataValidation sqref="I2:I7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L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SEC-001</t>
        </is>
      </c>
      <c r="B2" s="34" t="inlineStr">
        <is>
          <t>Unauthenticated user redirected from all protected routes</t>
        </is>
      </c>
      <c r="C2" s="34" t="inlineStr">
        <is>
          <t>No active session</t>
        </is>
      </c>
      <c r="D2" s="34" t="inlineStr">
        <is>
          <t>1. Attempt to directly access each protected module URL</t>
        </is>
      </c>
      <c r="E2" s="34" t="inlineStr">
        <is>
          <t>N/A</t>
        </is>
      </c>
      <c r="F2" s="34" t="inlineStr">
        <is>
          <t>Every protected route redirects to /login or returns HTTP 401</t>
        </is>
      </c>
      <c r="G2" s="35" t="inlineStr">
        <is>
          <t>Anonymous requests -&gt; /dashboard=303; /students/page=303; /users/page=303; /audit-logs/page=303; /reports/page=303; /files/page=303; /students=401; /users=401; /audit-logs=401; /loans=401; /donations=401; /files=401; /api/reports/donations=401; /api/v1/sync/pull?limit=1=401; every protected route redirects to /login (pages, 303) or answers 401 (APIs), with no records exposed.</t>
        </is>
      </c>
      <c r="H2" s="37" t="inlineStr">
        <is>
          <t>Pass</t>
        </is>
      </c>
      <c r="I2" s="34" t="inlineStr">
        <is>
          <t>High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SEC-002</t>
        </is>
      </c>
      <c r="B3" s="34" t="inlineStr">
        <is>
          <t>Role-based menu/UI visibility</t>
        </is>
      </c>
      <c r="C3" s="34" t="inlineStr">
        <is>
          <t>Logged in as each role in turn</t>
        </is>
      </c>
      <c r="D3" s="34" t="inlineStr">
        <is>
          <t>1. Log in as Super Admin, Admin, Manager, Staff, Volunteer, Donor, Beneficiary, Student
2. Inspect visible sidebar/menu items</t>
        </is>
      </c>
      <c r="E3" s="34" t="inlineStr">
        <is>
          <t>One login per role</t>
        </is>
      </c>
      <c r="F3" s="34" t="inlineStr">
        <is>
          <t>Only the modules/actions permitted for that role are visible in the UI</t>
        </is>
      </c>
      <c r="G3" s="35" t="inlineStr">
        <is>
          <t>GET /dashboard sidebar per role -&gt; Admin: 4/4 permitted links shown; 0/0 forbidden links are role-gated (hidden client-side) and 0 are un-gated; Manager: 4/4 permitted links shown; 3/3 forbidden links are role-gated (hidden client-side) and 0 are un-gated; Staff: 2/2 permitted links shown; 3/3 forbidden links are role-gated (hidden client-side) and 0 are un-gated; Donor: 0/0 permitted links shown; 5/5 forbidden links are role-gated (hidden client-side) and 0 are un-gated. Every forbidden entry carries data-roles that excludes the role and app.js applies the filter (nav gating script present=True); the server independently returns 403 for those routes (SEC-003).</t>
        </is>
      </c>
      <c r="H3" s="37" t="inlineStr">
        <is>
          <t>Pass</t>
        </is>
      </c>
      <c r="I3" s="34" t="inlineStr">
        <is>
          <t>High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SEC-003</t>
        </is>
      </c>
      <c r="B4" s="34" t="inlineStr">
        <is>
          <t>Direct API access bypassing UI restrictions</t>
        </is>
      </c>
      <c r="C4" s="34" t="inlineStr">
        <is>
          <t>Logged in as a restricted role</t>
        </is>
      </c>
      <c r="D4" s="34" t="inlineStr">
        <is>
          <t>1. Call a restricted API endpoint directly (not via UI) e.g. DELETE on a record</t>
        </is>
      </c>
      <c r="E4" s="34" t="inlineStr">
        <is>
          <t>Restricted endpoint + valid session token</t>
        </is>
      </c>
      <c r="F4" s="34" t="inlineStr">
        <is>
          <t>Server enforces the same role check as the UI; request is rejected with HTTP 403</t>
        </is>
      </c>
      <c r="G4" s="35" t="inlineStr">
        <is>
          <t>Server-side role checks -&gt; Donor /students=403; Donor /users=403; Donor /loans=403; Donor /audit-logs=403; Manager /revenue=403; Manager /audit-logs=403; Manager /users=403; Staff /revenue=403; Staff /users=403; each request that the UI hides is rejected with HTTP 403 at the route middleware (RequireAnyRole), so the API enforces the same rule.</t>
        </is>
      </c>
      <c r="H4" s="37" t="inlineStr">
        <is>
          <t>Pass</t>
        </is>
      </c>
      <c r="I4" s="34" t="inlineStr">
        <is>
          <t>High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SEC-004</t>
        </is>
      </c>
      <c r="B5" s="34" t="inlineStr">
        <is>
          <t>Session expiry / idle timeout</t>
        </is>
      </c>
      <c r="C5" s="34" t="inlineStr">
        <is>
          <t>Logged in user, session idle beyond timeout</t>
        </is>
      </c>
      <c r="D5" s="34" t="inlineStr">
        <is>
          <t>1. Leave session idle past configured timeout
2. Attempt an action</t>
        </is>
      </c>
      <c r="E5" s="34" t="inlineStr">
        <is>
          <t>N/A</t>
        </is>
      </c>
      <c r="F5" s="34" t="inlineStr">
        <is>
          <t>User is required to re-authenticate; stale session is rejected</t>
        </is>
      </c>
      <c r="G5" s="35" t="inlineStr">
        <is>
          <t>login -&gt; HTTP 303, POST /logout -&gt; HTTP 200, then replaying the captured pwams_session cookie: GET /dashboard -&gt; HTTP 303, GET /students -&gt; HTTP 401; the revoked session is rejected (AuthHandler.Logout calls RevokeSession), so the user is forced to re-authenticate.</t>
        </is>
      </c>
      <c r="H5" s="37" t="inlineStr">
        <is>
          <t>Pass</t>
        </is>
      </c>
      <c r="I5" s="34" t="inlineStr">
        <is>
          <t>Medium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6" ht="75" customHeight="1" s="22">
      <c r="A6" s="34" t="inlineStr">
        <is>
          <t>SEC-005</t>
        </is>
      </c>
      <c r="B6" s="34" t="inlineStr">
        <is>
          <t>CSRF protection on state-changing requests</t>
        </is>
      </c>
      <c r="C6" s="34" t="inlineStr">
        <is>
          <t>Logged in user</t>
        </is>
      </c>
      <c r="D6" s="34" t="inlineStr">
        <is>
          <t>1. Attempt a POST/PUT/PATCH/DELETE request without a valid CSRF token</t>
        </is>
      </c>
      <c r="E6" s="34" t="inlineStr">
        <is>
          <t>Missing/invalid CSRF token</t>
        </is>
      </c>
      <c r="F6" s="34" t="inlineStr">
        <is>
          <t>Request is rejected</t>
        </is>
      </c>
      <c r="G6" s="35" t="inlineStr">
        <is>
          <t>POST /persons without the X-CSRF-Token header -&gt; HTTP 403 (message='CSRF token mismatch'); record created=False (double-submit check in internal/middleware/csrf.go).</t>
        </is>
      </c>
      <c r="H6" s="37" t="inlineStr">
        <is>
          <t>Pass</t>
        </is>
      </c>
      <c r="I6" s="34" t="inlineStr">
        <is>
          <t>High</t>
        </is>
      </c>
      <c r="J6" s="34" t="inlineStr">
        <is>
          <t>Cline (automated agent, HTTP-level execution)</t>
        </is>
      </c>
      <c r="K6" s="34" t="inlineStr">
        <is>
          <t>2026-09-29</t>
        </is>
      </c>
      <c r="L6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7" ht="75" customHeight="1" s="22">
      <c r="A7" s="34" t="inlineStr">
        <is>
          <t>SEC-006</t>
        </is>
      </c>
      <c r="B7" s="34" t="inlineStr">
        <is>
          <t>SQL injection attempt on search/filter fields</t>
        </is>
      </c>
      <c r="C7" s="34" t="inlineStr">
        <is>
          <t>N/A</t>
        </is>
      </c>
      <c r="D7" s="34" t="inlineStr">
        <is>
          <t>1. Enter SQL injection payloads into search/filter inputs (e.g. student search, donor search)</t>
        </is>
      </c>
      <c r="E7" s="34" t="inlineStr">
        <is>
          <t>e.g. ' OR '1'='1</t>
        </is>
      </c>
      <c r="F7" s="34" t="inlineStr">
        <is>
          <t>Input is safely escaped/parameterized; no data leakage or error stack trace exposed</t>
        </is>
      </c>
      <c r="G7" s="35" t="inlineStr">
        <is>
          <t>SQLi search probes -&gt; "' OR '1'='1" -&gt; HTTP 200, rows=0, leaks=[]; "'; DROP TABLE persons; --" -&gt; HTTP 200, rows=0, leaks=[]; '" OR 1=1 --' -&gt; HTTP 200, rows=0, leaks=[]; queries are bound parameters (no error text/stack leaked) and GET /persons still answers HTTP 200 afterwards (table intact=True).</t>
        </is>
      </c>
      <c r="H7" s="37" t="inlineStr">
        <is>
          <t>Pass</t>
        </is>
      </c>
      <c r="I7" s="34" t="inlineStr">
        <is>
          <t>High</t>
        </is>
      </c>
      <c r="J7" s="34" t="inlineStr">
        <is>
          <t>Cline (automated agent, HTTP-level execution)</t>
        </is>
      </c>
      <c r="K7" s="34" t="inlineStr">
        <is>
          <t>2026-09-29</t>
        </is>
      </c>
      <c r="L7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8" ht="75" customHeight="1" s="22">
      <c r="A8" s="34" t="inlineStr">
        <is>
          <t>SEC-007</t>
        </is>
      </c>
      <c r="B8" s="34" t="inlineStr">
        <is>
          <t>XSS attempt on free-text fields</t>
        </is>
      </c>
      <c r="C8" s="34" t="inlineStr">
        <is>
          <t>N/A</t>
        </is>
      </c>
      <c r="D8" s="34" t="inlineStr">
        <is>
          <t>1. Enter script payloads into free-text fields (e.g. remarks, message body)</t>
        </is>
      </c>
      <c r="E8" s="34" t="inlineStr">
        <is>
          <t>e.g. &lt;script&gt;alert(1)&lt;/script&gt;</t>
        </is>
      </c>
      <c r="F8" s="34" t="inlineStr">
        <is>
          <t>Input is sanitized/escaped on output; script does not execute</t>
        </is>
      </c>
      <c r="G8" s="35" t="inlineStr">
        <is>
          <t>POST /persons with full_name='&lt;script&gt;qa_xss_probe=1&lt;/script&gt;' -&gt; HTTP 201; raw payload in the rendered view/list page=False, HTML-escaped form present=True (stored but never executable).</t>
        </is>
      </c>
      <c r="H8" s="37" t="inlineStr">
        <is>
          <t>Pass</t>
        </is>
      </c>
      <c r="I8" s="34" t="inlineStr">
        <is>
          <t>High</t>
        </is>
      </c>
      <c r="J8" s="34" t="inlineStr">
        <is>
          <t>Cline (automated agent, HTTP-level execution)</t>
        </is>
      </c>
      <c r="K8" s="34" t="inlineStr">
        <is>
          <t>2026-09-29</t>
        </is>
      </c>
      <c r="L8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9" ht="75" customHeight="1" s="22">
      <c r="A9" s="34" t="inlineStr">
        <is>
          <t>SEC-008</t>
        </is>
      </c>
      <c r="B9" s="34" t="inlineStr">
        <is>
          <t>Multi-tenancy / organization data isolation</t>
        </is>
      </c>
      <c r="C9" s="34" t="inlineStr">
        <is>
          <t>Two organizations with separate data exist (per organization_tenancy migration)</t>
        </is>
      </c>
      <c r="D9" s="34" t="inlineStr">
        <is>
          <t>1. Log in as a user from Organization A
2. Attempt to view/access Organization B's records via ID guessing</t>
        </is>
      </c>
      <c r="E9" s="34" t="inlineStr">
        <is>
          <t>Record ID belonging to another organization</t>
        </is>
      </c>
      <c r="F9" s="34" t="inlineStr">
        <is>
          <t>Request is rejected (403/404); cross-tenant data is never exposed</t>
        </is>
      </c>
      <c r="G9" s="35" t="inlineStr">
        <is>
          <t>Sync push with payload.tenant_id=c7ac5638-f13c-4c88-b4af-e7a3edff9bcc -&gt; HTTP 200; stored tenant_id=None; persons rows with a non-null tenant_id=0 (tenant comes from the authenticated principal, never the payload - see internal/handlers/sync_handler.go Push).</t>
        </is>
      </c>
      <c r="H9" s="37" t="inlineStr">
        <is>
          <t>Pass</t>
        </is>
      </c>
      <c r="I9" s="34" t="inlineStr">
        <is>
          <t>High</t>
        </is>
      </c>
      <c r="J9" s="34" t="inlineStr">
        <is>
          <t>Cline (automated agent, HTTP-level execution)</t>
        </is>
      </c>
      <c r="K9" s="34" t="inlineStr">
        <is>
          <t>2026-09-29</t>
        </is>
      </c>
      <c r="L9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10" ht="75" customHeight="1" s="22">
      <c r="A10" s="34" t="inlineStr">
        <is>
          <t>SEC-009</t>
        </is>
      </c>
      <c r="B10" s="34" t="inlineStr">
        <is>
          <t>Password stored securely</t>
        </is>
      </c>
      <c r="C10" s="34" t="inlineStr">
        <is>
          <t>N/A</t>
        </is>
      </c>
      <c r="D10" s="34" t="inlineStr">
        <is>
          <t>1. Inspect database/user table for password storage (via existing docs/migrations, not by attempting to crack it)</t>
        </is>
      </c>
      <c r="E10" s="34" t="inlineStr">
        <is>
          <t>N/A</t>
        </is>
      </c>
      <c r="F10" s="34" t="inlineStr">
        <is>
          <t>Passwords are stored as salted hashes, never in plain text</t>
        </is>
      </c>
      <c r="G10" s="35" t="inlineStr">
        <is>
          <t>users.password_hash for qa_admin -&gt; prefix='$2a$', length=60 (bcrypt salt+cost embedded); GET /users exposes a password field/hash=False (models.User marks PasswordHash json:"-"); a wrong password is rejected (AUTH-003, AUTH-005 in part B).</t>
        </is>
      </c>
      <c r="H10" s="37" t="inlineStr">
        <is>
          <t>Pass</t>
        </is>
      </c>
      <c r="I10" s="34" t="inlineStr">
        <is>
          <t>High</t>
        </is>
      </c>
      <c r="J10" s="34" t="inlineStr">
        <is>
          <t>Cline (automated agent, HTTP-level execution)</t>
        </is>
      </c>
      <c r="K10" s="34" t="inlineStr">
        <is>
          <t>2026-09-29</t>
        </is>
      </c>
      <c r="L10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10"/>
  <dataValidations count="2">
    <dataValidation sqref="H2:H10" showDropDown="0" showInputMessage="0" showErrorMessage="0" allowBlank="0" type="list" errorStyle="stop" operator="between">
      <formula1>"Pass,Fail,Blocked,Not Executed"</formula1>
      <formula2>0</formula2>
    </dataValidation>
    <dataValidation sqref="I2:I10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L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1" min="1" max="1"/>
    <col width="26" customWidth="1" style="21" min="2" max="2"/>
    <col width="20" customWidth="1" style="21" min="3" max="3"/>
    <col width="38" customWidth="1" style="21" min="4" max="4"/>
    <col width="22" customWidth="1" style="21" min="5" max="5"/>
    <col width="30" customWidth="1" style="21" min="6" max="6"/>
    <col width="22" customWidth="1" style="21" min="7" max="7"/>
    <col width="12" customWidth="1" style="21" min="8" max="8"/>
    <col width="10" customWidth="1" style="21" min="9" max="9"/>
    <col width="12" customWidth="1" style="21" min="10" max="11"/>
    <col width="20" customWidth="1" style="21" min="12" max="12"/>
  </cols>
  <sheetData>
    <row r="1" ht="27.75" customHeight="1" s="22">
      <c r="A1" s="28" t="inlineStr">
        <is>
          <t>Test Case ID</t>
        </is>
      </c>
      <c r="B1" s="28" t="inlineStr">
        <is>
          <t>Test Scenario</t>
        </is>
      </c>
      <c r="C1" s="28" t="inlineStr">
        <is>
          <t>Pre-conditions</t>
        </is>
      </c>
      <c r="D1" s="28" t="inlineStr">
        <is>
          <t>Test Steps</t>
        </is>
      </c>
      <c r="E1" s="28" t="inlineStr">
        <is>
          <t>Test Data</t>
        </is>
      </c>
      <c r="F1" s="28" t="inlineStr">
        <is>
          <t>Expected Result</t>
        </is>
      </c>
      <c r="G1" s="28" t="inlineStr">
        <is>
          <t>Actual Result</t>
        </is>
      </c>
      <c r="H1" s="28" t="inlineStr">
        <is>
          <t>Status</t>
        </is>
      </c>
      <c r="I1" s="28" t="inlineStr">
        <is>
          <t>Priority</t>
        </is>
      </c>
      <c r="J1" s="28" t="inlineStr">
        <is>
          <t>Tested By</t>
        </is>
      </c>
      <c r="K1" s="28" t="inlineStr">
        <is>
          <t>Date Tested</t>
        </is>
      </c>
      <c r="L1" s="28" t="inlineStr">
        <is>
          <t>Remarks</t>
        </is>
      </c>
    </row>
    <row r="2" ht="75" customHeight="1" s="22">
      <c r="A2" s="34" t="inlineStr">
        <is>
          <t>I18N-001</t>
        </is>
      </c>
      <c r="B2" s="34" t="inlineStr">
        <is>
          <t>Switch UI language to Sinhala</t>
        </is>
      </c>
      <c r="C2" s="34" t="inlineStr">
        <is>
          <t>Logged in user</t>
        </is>
      </c>
      <c r="D2" s="34" t="inlineStr">
        <is>
          <t>1. Change language setting to Sinhala
2. Browse key pages</t>
        </is>
      </c>
      <c r="E2" s="34" t="inlineStr">
        <is>
          <t>N/A</t>
        </is>
      </c>
      <c r="F2" s="34" t="inlineStr">
        <is>
          <t>UI labels render in Sinhala without missing keys or layout breakage</t>
        </is>
      </c>
      <c r="G2" s="35" t="inlineStr">
        <is>
          <t>GET /reports/page; /dashboard; /students/page?lang=si -&gt; HTTP 200; Sinhala characters rendered=2748, Tamil=15, HTML bytes=56355, missing-key/template leaks=none.</t>
        </is>
      </c>
      <c r="H2" s="37" t="inlineStr">
        <is>
          <t>Pass</t>
        </is>
      </c>
      <c r="I2" s="34" t="inlineStr">
        <is>
          <t>Medium</t>
        </is>
      </c>
      <c r="J2" s="34" t="inlineStr">
        <is>
          <t>Cline (automated agent, HTTP-level execution)</t>
        </is>
      </c>
      <c r="K2" s="34" t="inlineStr">
        <is>
          <t>2026-09-29</t>
        </is>
      </c>
      <c r="L2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3" ht="75" customHeight="1" s="22">
      <c r="A3" s="34" t="inlineStr">
        <is>
          <t>I18N-002</t>
        </is>
      </c>
      <c r="B3" s="34" t="inlineStr">
        <is>
          <t>Switch UI language to Tamil</t>
        </is>
      </c>
      <c r="C3" s="34" t="inlineStr">
        <is>
          <t>Logged in user</t>
        </is>
      </c>
      <c r="D3" s="34" t="inlineStr">
        <is>
          <t>1. Change language setting to Tamil
2. Browse key pages</t>
        </is>
      </c>
      <c r="E3" s="34" t="inlineStr">
        <is>
          <t>N/A</t>
        </is>
      </c>
      <c r="F3" s="34" t="inlineStr">
        <is>
          <t>UI labels render in Tamil without missing keys or layout breakage</t>
        </is>
      </c>
      <c r="G3" s="35" t="inlineStr">
        <is>
          <t>GET /reports/page; /dashboard; /students/page?lang=ta -&gt; HTTP 200; Tamil characters rendered=3155, Sinhala=15, HTML bytes=56673, missing-key/template leaks=none.</t>
        </is>
      </c>
      <c r="H3" s="37" t="inlineStr">
        <is>
          <t>Pass</t>
        </is>
      </c>
      <c r="I3" s="34" t="inlineStr">
        <is>
          <t>Medium</t>
        </is>
      </c>
      <c r="J3" s="34" t="inlineStr">
        <is>
          <t>Cline (automated agent, HTTP-level execution)</t>
        </is>
      </c>
      <c r="K3" s="34" t="inlineStr">
        <is>
          <t>2026-09-29</t>
        </is>
      </c>
      <c r="L3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4" ht="75" customHeight="1" s="22">
      <c r="A4" s="34" t="inlineStr">
        <is>
          <t>I18N-003</t>
        </is>
      </c>
      <c r="B4" s="34" t="inlineStr">
        <is>
          <t>Switch UI language to English</t>
        </is>
      </c>
      <c r="C4" s="34" t="inlineStr">
        <is>
          <t>Logged in user</t>
        </is>
      </c>
      <c r="D4" s="34" t="inlineStr">
        <is>
          <t>1. Change language setting to English
2. Browse key pages</t>
        </is>
      </c>
      <c r="E4" s="34" t="inlineStr">
        <is>
          <t>N/A</t>
        </is>
      </c>
      <c r="F4" s="34" t="inlineStr">
        <is>
          <t>UI labels render in English correctly (default/reference language)</t>
        </is>
      </c>
      <c r="G4" s="35" t="inlineStr">
        <is>
          <t>GET /reports/page; /dashboard; /students/page?lang=en -&gt; HTTP 200; Sinhala=15, Tamil=15 (baseline only), English labels present=True, leaks=none.</t>
        </is>
      </c>
      <c r="H4" s="37" t="inlineStr">
        <is>
          <t>Pass</t>
        </is>
      </c>
      <c r="I4" s="34" t="inlineStr">
        <is>
          <t>Low</t>
        </is>
      </c>
      <c r="J4" s="34" t="inlineStr">
        <is>
          <t>Cline (automated agent, HTTP-level execution)</t>
        </is>
      </c>
      <c r="K4" s="34" t="inlineStr">
        <is>
          <t>2026-09-29</t>
        </is>
      </c>
      <c r="L4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  <row r="5" ht="75" customHeight="1" s="22">
      <c r="A5" s="34" t="inlineStr">
        <is>
          <t>I18N-004</t>
        </is>
      </c>
      <c r="B5" s="34" t="inlineStr">
        <is>
          <t>Language preference persists across sessions</t>
        </is>
      </c>
      <c r="C5" s="34" t="inlineStr">
        <is>
          <t>Language changed and logged out/in again</t>
        </is>
      </c>
      <c r="D5" s="34" t="inlineStr">
        <is>
          <t>1. Set language
2. Log out
3. Log back in</t>
        </is>
      </c>
      <c r="E5" s="34" t="inlineStr">
        <is>
          <t>N/A</t>
        </is>
      </c>
      <c r="F5" s="34" t="inlineStr">
        <is>
          <t>Previously selected language is remembered for the user</t>
        </is>
      </c>
      <c r="G5" s="35" t="inlineStr">
        <is>
          <t>login -&gt; HTTP 303; GET /reports/page?lang=si -&gt; HTTP 200 set pwams_lang='si'; after logout + fresh login (HTTP 303, new session) GET /reports/page (no lang parameter) -&gt; HTTP 200, Sinhala characters=1270 (the one-year locale cookie internal/middleware/locale.go ResolveLocale keeps the preference).</t>
        </is>
      </c>
      <c r="H5" s="37" t="inlineStr">
        <is>
          <t>Pass</t>
        </is>
      </c>
      <c r="I5" s="34" t="inlineStr">
        <is>
          <t>Low</t>
        </is>
      </c>
      <c r="J5" s="34" t="inlineStr">
        <is>
          <t>Cline (automated agent, HTTP-level execution)</t>
        </is>
      </c>
      <c r="K5" s="34" t="inlineStr">
        <is>
          <t>2026-09-29</t>
        </is>
      </c>
      <c r="L5" s="35" t="inlineStr">
        <is>
          <t>Executed against local dev instance 127.0.0.1:8081 built from this repo source; Postgres localhost:5432; SMTP via Mailpit 127.0.0.1:1025. Session/CSRF/rate-limit behaviour exercised through a real cookie jar.</t>
        </is>
      </c>
    </row>
  </sheetData>
  <autoFilter ref="A1:L5"/>
  <dataValidations count="2">
    <dataValidation sqref="H2:H5" showDropDown="0" showInputMessage="0" showErrorMessage="0" allowBlank="0" type="list" errorStyle="stop" operator="between">
      <formula1>"Pass,Fail,Blocked,Not Executed"</formula1>
      <formula2>0</formula2>
    </dataValidation>
    <dataValidation sqref="I2:I5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2026-09-23T06:58:32Z</dcterms:created>
  <dcterms:modified xsi:type="dcterms:W3CDTF">2026-09-29T13:54:17Z</dcterms:modified>
  <cp:revision>0</cp:revision>
</cp:coreProperties>
</file>